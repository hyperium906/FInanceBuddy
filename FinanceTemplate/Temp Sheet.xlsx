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Sheet" sheetId="1" r:id="rId5"/>
    <sheet state="visible" name="Debt Tracker" sheetId="2" r:id="rId6"/>
    <sheet state="visible" name="Wishlist &amp; Purchases" sheetId="3" r:id="rId7"/>
    <sheet state="visible" name="_Accounts" sheetId="4" r:id="rId8"/>
    <sheet state="hidden" name="_Transactions" sheetId="5" r:id="rId9"/>
    <sheet state="hidden" name="_Recurring" sheetId="6" r:id="rId10"/>
    <sheet state="hidden" name="_Budgets" sheetId="7" r:id="rId11"/>
    <sheet state="hidden" name="_Allocations" sheetId="8" r:id="rId12"/>
    <sheet state="hidden" name="_Config" sheetId="9" r:id="rId13"/>
    <sheet state="visible" name="_Debts" sheetId="10" r:id="rId14"/>
    <sheet state="visible" name="_Wishlist" sheetId="11" r:id="rId15"/>
    <sheet state="visible" name="_Goals" sheetId="12" r:id="rId16"/>
  </sheets>
  <definedNames/>
  <calcPr/>
</workbook>
</file>

<file path=xl/sharedStrings.xml><?xml version="1.0" encoding="utf-8"?>
<sst xmlns="http://schemas.openxmlformats.org/spreadsheetml/2006/main" count="1005" uniqueCount="509">
  <si>
    <t>account_id</t>
  </si>
  <si>
    <t>name</t>
  </si>
  <si>
    <t>type</t>
  </si>
  <si>
    <t>institution</t>
  </si>
  <si>
    <t>balance</t>
  </si>
  <si>
    <t>last_updated</t>
  </si>
  <si>
    <t>chase_savings</t>
  </si>
  <si>
    <t>Chase Savings</t>
  </si>
  <si>
    <t>savings</t>
  </si>
  <si>
    <t>Chase</t>
  </si>
  <si>
    <t>2026-09-09</t>
  </si>
  <si>
    <t>fidelity_cash</t>
  </si>
  <si>
    <t>Fidelity Cash Management</t>
  </si>
  <si>
    <t>checking</t>
  </si>
  <si>
    <t>Fidelity</t>
  </si>
  <si>
    <t>fidelity_brokerage</t>
  </si>
  <si>
    <t>Fidelity Individual Brokerage</t>
  </si>
  <si>
    <t>investment</t>
  </si>
  <si>
    <t>fidelity_roth</t>
  </si>
  <si>
    <t>Fidelity Go Roth IRA</t>
  </si>
  <si>
    <t>retirement</t>
  </si>
  <si>
    <t>fidelity_crypto</t>
  </si>
  <si>
    <t>Fidelity Crypto</t>
  </si>
  <si>
    <t>crypto</t>
  </si>
  <si>
    <t>chase_checking</t>
  </si>
  <si>
    <t>Chase Checking</t>
  </si>
  <si>
    <t>ANNUAL WISHLIST &amp; PURCHASE PLANNER</t>
  </si>
  <si>
    <t>Debt Name</t>
  </si>
  <si>
    <t>txn_id</t>
  </si>
  <si>
    <t>date</t>
  </si>
  <si>
    <t>description</t>
  </si>
  <si>
    <t>Student Loan</t>
  </si>
  <si>
    <t>merchant</t>
  </si>
  <si>
    <t>amount</t>
  </si>
  <si>
    <t>category</t>
  </si>
  <si>
    <t>notes</t>
  </si>
  <si>
    <t>b934fd5e</t>
  </si>
  <si>
    <t>ALDI INC 3003 WATSON WARNER ROBINS GA700818  09/11</t>
  </si>
  <si>
    <t>Reimbursable</t>
  </si>
  <si>
    <t>BBQ 11 Sep - fronted for the group</t>
  </si>
  <si>
    <t>ye</t>
  </si>
  <si>
    <t>ab3ee47b</t>
  </si>
  <si>
    <t>COOK OUT WATSON BLVD WARNER ROBINS GA        09/10</t>
  </si>
  <si>
    <t>Dining</t>
  </si>
  <si>
    <t>Annual Percentage Rate (APR)</t>
  </si>
  <si>
    <t>f9aab44a</t>
  </si>
  <si>
    <t>Target Purchases &amp; Budget Tracking for the Upcoming Year</t>
  </si>
  <si>
    <t>ROBINS STARBUCKS 63900 ROBINS AFB XX         09/10</t>
  </si>
  <si>
    <t>8974a15a</t>
  </si>
  <si>
    <t>CASH APP*JOSHUA D*CASH OAKLAND CA    401999  09/11</t>
  </si>
  <si>
    <t>688f5414</t>
  </si>
  <si>
    <t>VENMO*DUPATI JOSHUA VISA DIRECT NY   260996  09/11</t>
  </si>
  <si>
    <t>c9246f7d</t>
  </si>
  <si>
    <t>DFAS-CLEVELAND   FED SALARY                 PPD ID: 3041036004</t>
  </si>
  <si>
    <t>Income</t>
  </si>
  <si>
    <t>96ddfdec</t>
  </si>
  <si>
    <t>MAHARAJA MARKET WARNER ROBINS GA             09/09</t>
  </si>
  <si>
    <t>Groceries</t>
  </si>
  <si>
    <t>88447f7e</t>
  </si>
  <si>
    <t>1. Income &amp; Cash Flow Summary</t>
  </si>
  <si>
    <t>COCA COLA MACON GA MACON GA                  09/09</t>
  </si>
  <si>
    <t>Starting Balance</t>
  </si>
  <si>
    <t>786f3a30</t>
  </si>
  <si>
    <t>MCDONALD'S F24298 WARNER ROBINS GA           09/08</t>
  </si>
  <si>
    <t>TOTAL ESTIMATED BUDGET</t>
  </si>
  <si>
    <t>401449d2</t>
  </si>
  <si>
    <t>STARBUCKS STORE 08630 MACON GA               09/08</t>
  </si>
  <si>
    <t>a1c4cabf</t>
  </si>
  <si>
    <t>TST* JENI'S SPLENDID IC ALPHARETTA GA        09/08</t>
  </si>
  <si>
    <t>6. Account Balances &amp; Net Worth</t>
  </si>
  <si>
    <t>86883fbc</t>
  </si>
  <si>
    <t>PUBLIX #1542 DAWSONVILLE GA                  09/06</t>
  </si>
  <si>
    <t>c50e5cc9</t>
  </si>
  <si>
    <t>UPPBEAT - SUBSCRIPTION LEEDS                 09/06</t>
  </si>
  <si>
    <t>Subscriptions</t>
  </si>
  <si>
    <t>c4cbf574</t>
  </si>
  <si>
    <t>TST* JENI'S SPLENDID IC ALPHARETTA GA        09/06</t>
  </si>
  <si>
    <t>2882b395</t>
  </si>
  <si>
    <t>DUNKIN #354435 Q35 FORSYTH GA                09/04</t>
  </si>
  <si>
    <t>Start Date</t>
  </si>
  <si>
    <t>a151690c</t>
  </si>
  <si>
    <t>CHICK-FIL-A #04944 478-328-0445 GA           09/04</t>
  </si>
  <si>
    <t>c023994e</t>
  </si>
  <si>
    <t>TOTAL ITEMS</t>
  </si>
  <si>
    <t>CHICK-FIL-A #04944 478-328-0445 GA           09/03</t>
  </si>
  <si>
    <t>73b60d79</t>
  </si>
  <si>
    <t>VENMO*DUPATI JOSHUA VISA DIRECT NY   482155  09/07</t>
  </si>
  <si>
    <t>Transfer</t>
  </si>
  <si>
    <t>a6526f0b</t>
  </si>
  <si>
    <t>TOTAL SPENT</t>
  </si>
  <si>
    <t>FID BKG SVC LLC  MONEYLINE  Z34536202 NSRBQ WEB ID: 1035141375</t>
  </si>
  <si>
    <t>09ae328f</t>
  </si>
  <si>
    <t>Bi-Weekly Net Paycheck</t>
  </si>
  <si>
    <t>BJS FUEL #9246 6201 WA BYRON GA      541803  09/04</t>
  </si>
  <si>
    <t>REMAINING OUTLAY</t>
  </si>
  <si>
    <t>Gas / Transportation</t>
  </si>
  <si>
    <t>0990e3fd</t>
  </si>
  <si>
    <t>Current Balance (Live)</t>
  </si>
  <si>
    <t>McDonalds 24298 WARNER ROBINS GA             09/03</t>
  </si>
  <si>
    <t>e3a6f405</t>
  </si>
  <si>
    <t>COCA COLA MACON GA MACON GA                  09/02</t>
  </si>
  <si>
    <t>PURCHASE PROGRESS</t>
  </si>
  <si>
    <t>32839c7f</t>
  </si>
  <si>
    <t>Pointe Grand Byr RENT       272293054       WEB ID: 1861072180</t>
  </si>
  <si>
    <t>Housing</t>
  </si>
  <si>
    <t>0bd74eb9</t>
  </si>
  <si>
    <t>COCA COLA MACON GA MACON GA                  09/01</t>
  </si>
  <si>
    <t>Projected Monthly Net Income</t>
  </si>
  <si>
    <t>cf14842c</t>
  </si>
  <si>
    <t>CHICK-FIL-A #04570 478-569-1200 GA           08/31</t>
  </si>
  <si>
    <t>8fc747a4</t>
  </si>
  <si>
    <t>CHICK-FIL-A #04944 478-328-0445 GA           08/31</t>
  </si>
  <si>
    <t>baf95633</t>
  </si>
  <si>
    <t>DEPT EDUCATION   STUDENT LN 6S8BPV1D511     WEB ID: 9102002005</t>
  </si>
  <si>
    <t>Debt</t>
  </si>
  <si>
    <t>95bd074c</t>
  </si>
  <si>
    <t>FID BKG SVC LLC  MONEYLINE  Z34536202 N9SJS WEB ID: 1035141375</t>
  </si>
  <si>
    <t>7c61a735</t>
  </si>
  <si>
    <t>PUBLIX #1291 BYRON GA                        08/30</t>
  </si>
  <si>
    <t>5f6cebef</t>
  </si>
  <si>
    <t>CHIPOTLE 6007 WARNER ROBINS GA               08/30</t>
  </si>
  <si>
    <t>c920e51b</t>
  </si>
  <si>
    <t>BUC-EE'S #0051 FORT VALLEY GA                08/30</t>
  </si>
  <si>
    <t>2731a864</t>
  </si>
  <si>
    <t>REBOOT MACN MACON GA                         08/29</t>
  </si>
  <si>
    <t>Other</t>
  </si>
  <si>
    <t>7dae3629</t>
  </si>
  <si>
    <t>FATTY'S PIZZA MACON GA                       08/30</t>
  </si>
  <si>
    <t>4cbb60e8</t>
  </si>
  <si>
    <t>BJS FUEL #9246 6201 WA BYRON GA      212589  08/29</t>
  </si>
  <si>
    <t>baea85c9</t>
  </si>
  <si>
    <t>Spotify P463CF3A4E New York NY               08/29</t>
  </si>
  <si>
    <t>c6ed3d67</t>
  </si>
  <si>
    <t>DILLARDS 698 DILLARD' 800-345-5273 AR        08/30</t>
  </si>
  <si>
    <t>Shopping</t>
  </si>
  <si>
    <t>4aeda08b</t>
  </si>
  <si>
    <t>TST*WOODLANDS COFFEE RO Kathleen GA          08/29</t>
  </si>
  <si>
    <t>2f90702c</t>
  </si>
  <si>
    <t>CHICK-FIL-A #04944 478-328-0445 GA           08/28</t>
  </si>
  <si>
    <t>Total Recurring Outflows</t>
  </si>
  <si>
    <t>68a8b37f</t>
  </si>
  <si>
    <t>COCA COLA MACON GA MACON GA                  08/28</t>
  </si>
  <si>
    <t>734376c2</t>
  </si>
  <si>
    <t>CHICK-FIL-A #04944 478-328-0445 GA           08/27</t>
  </si>
  <si>
    <t>ab88f2e8</t>
  </si>
  <si>
    <t>27fef1b4</t>
  </si>
  <si>
    <t>VENMO*DUPATI JOSHUA VISA DIRECT NY   120476  08/29</t>
  </si>
  <si>
    <t>ab194b8a</t>
  </si>
  <si>
    <t>Online Transfer from CHK ...9861 transaction#: 30601673879</t>
  </si>
  <si>
    <t>775ef661</t>
  </si>
  <si>
    <t>Online Transfer from CHK ...9338 transaction#: 30611303690</t>
  </si>
  <si>
    <t>CHICK-FIL-A #04570 WARNER ROBINS GA          08/26</t>
  </si>
  <si>
    <t>356ce071</t>
  </si>
  <si>
    <t>8596f7b8</t>
  </si>
  <si>
    <t>PP*APPLE.COM/BILL 800-275-2273 CA            08/27</t>
  </si>
  <si>
    <t>227b73ae</t>
  </si>
  <si>
    <t>ROBINS AFB COMMI 923 M ROBINS AFB GA 576874  08/24</t>
  </si>
  <si>
    <t>f1a3343b</t>
  </si>
  <si>
    <t>ANTHROPIC ANTHROPIC.COM CA                   08/23</t>
  </si>
  <si>
    <t>bf005151</t>
  </si>
  <si>
    <t>Net Remaining Cash Flow</t>
  </si>
  <si>
    <t>8d1d0b03</t>
  </si>
  <si>
    <t>PUBLIX #1291 BYRON GA                        08/23</t>
  </si>
  <si>
    <t>18498e8c</t>
  </si>
  <si>
    <t>DD/BR #340542 WARNER ROBINS GA               08/23</t>
  </si>
  <si>
    <t>7fc0d1cf</t>
  </si>
  <si>
    <t>ANTHROPIC* CLAUDE SU ANTHROPIC.COM CA        08/23</t>
  </si>
  <si>
    <t>307b9b26</t>
  </si>
  <si>
    <t>Date</t>
  </si>
  <si>
    <t>TACO BELL #029101 WARNER ROBINS GA           08/23</t>
  </si>
  <si>
    <t>804aa64c</t>
  </si>
  <si>
    <t>AMAZON MKTPL*5O20U64 Amzn.com/bill WA        08/23</t>
  </si>
  <si>
    <t>Payment Amount</t>
  </si>
  <si>
    <t>735debe5</t>
  </si>
  <si>
    <t>SQ *DECADENT A COFFE Warner Robins GA        08/22</t>
  </si>
  <si>
    <t>Days Elapsed</t>
  </si>
  <si>
    <t>Interest Accrued</t>
  </si>
  <si>
    <t>f6c4c388</t>
  </si>
  <si>
    <t>Principal Paid</t>
  </si>
  <si>
    <t>5GUYS 0623 QSR WARNER ROBINS GA              08/22</t>
  </si>
  <si>
    <t>Remaining Balance</t>
  </si>
  <si>
    <t>3a9f27b6</t>
  </si>
  <si>
    <t>Amazon.com*5O3WW1NP0 Amzn.com/bill WA        08/22</t>
  </si>
  <si>
    <t>c12b6159</t>
  </si>
  <si>
    <t>TST*2 GUYS AND A PIE Bonaire GA              08/21</t>
  </si>
  <si>
    <t>4d7c0224</t>
  </si>
  <si>
    <t>AMAZON PRIME*JY2H33B Amzn.com/bill WA        08/21</t>
  </si>
  <si>
    <t>500d429c</t>
  </si>
  <si>
    <t>Vagaro_*Claires Barbe CENTERVILLE GA         08/21</t>
  </si>
  <si>
    <t>Health</t>
  </si>
  <si>
    <t>c2e4200d</t>
  </si>
  <si>
    <t>CHICK-FIL-A #04944 478-328-0445 GA           08/21</t>
  </si>
  <si>
    <t>Chase College Checking</t>
  </si>
  <si>
    <t>073b14c3</t>
  </si>
  <si>
    <t>QT 1735 INSIDE WARNER ROBINS GA              08/21</t>
  </si>
  <si>
    <t>8d3809c6</t>
  </si>
  <si>
    <t>SQ *MAKS BEAUTY SALON &amp; Byron GA             08/20</t>
  </si>
  <si>
    <t>36cb745b</t>
  </si>
  <si>
    <t>COCA COLA MACON GA MACON GA                  08/20</t>
  </si>
  <si>
    <t>be52d8e8</t>
  </si>
  <si>
    <t>CHICK-FIL-A #04944 478-328-0445 GA           08/19</t>
  </si>
  <si>
    <t>d31ffc14</t>
  </si>
  <si>
    <t>SP LIONA OF MARZA LIONA.SHOP WY              08/19</t>
  </si>
  <si>
    <t>Public Brokerage</t>
  </si>
  <si>
    <t>30ae5af9</t>
  </si>
  <si>
    <t>Amazon.com*5A65X8DJ0 Amzn.com/bill WA        08/19</t>
  </si>
  <si>
    <t>224400dd</t>
  </si>
  <si>
    <t>BJS FUEL #9246 6201 WA BYRON GA      193139  08/19</t>
  </si>
  <si>
    <t>d8651adb</t>
  </si>
  <si>
    <t>CHICK-FIL-A #04944 478-328-0445 GA           08/17</t>
  </si>
  <si>
    <t>b626130a</t>
  </si>
  <si>
    <t>FlintEnergies    PURCHASE   990000246429927 WEB ID: 9900002400</t>
  </si>
  <si>
    <t>Utilities</t>
  </si>
  <si>
    <t>f83f87c7</t>
  </si>
  <si>
    <t>PUBLIC.COM TAPX  ACH        26081700867272  WEB ID: 2561673990</t>
  </si>
  <si>
    <t>Total Assets</t>
  </si>
  <si>
    <t>429e46d2</t>
  </si>
  <si>
    <t>DEPT EDUCATION   STUDENT LN 6S71R92FFV1     WEB ID: 9102002005</t>
  </si>
  <si>
    <t>8f308c17</t>
  </si>
  <si>
    <t>MAHARAJA MARKET WARNER ROBINS GA             08/17</t>
  </si>
  <si>
    <t>82a73a2d</t>
  </si>
  <si>
    <t>AMAZON MKTPL*5A37V0N Amzn.com/bill WA        08/17</t>
  </si>
  <si>
    <t>7aa1f195</t>
  </si>
  <si>
    <t>Amazon.com*5A2JD8EK0 Amzn.com/bill WA        08/17</t>
  </si>
  <si>
    <t>e88fbc39</t>
  </si>
  <si>
    <t>AMAZON MKTPL*5A7XH3L Amzn.com/bill WA        08/17</t>
  </si>
  <si>
    <t>bec0d1cc</t>
  </si>
  <si>
    <t>Full wishlist target</t>
  </si>
  <si>
    <t>AMAZON MKTPL*5A6GS21 Amzn.com/bill WA        08/17</t>
  </si>
  <si>
    <t>55b582cf</t>
  </si>
  <si>
    <t>Amazon.com*5A40E8001 Amzn.com/bill WA        08/17</t>
  </si>
  <si>
    <t>d1d2ccc5</t>
  </si>
  <si>
    <t>Amazon.com*5A1VT8LE2 Amzn.com/bill WA        08/17</t>
  </si>
  <si>
    <t>542e7fe1</t>
  </si>
  <si>
    <t>AMAZON MKTPL*5A5CY5Z Amzn.com/bill WA        08/17</t>
  </si>
  <si>
    <t>2. Fixed Giving &amp; Family</t>
  </si>
  <si>
    <t>8789069c</t>
  </si>
  <si>
    <t>AMAZON MKTPL*5A9GZ6E Amzn.com/bill WA        08/17</t>
  </si>
  <si>
    <t>7e3b7dfd</t>
  </si>
  <si>
    <t/>
  </si>
  <si>
    <t>Planned purchase count</t>
  </si>
  <si>
    <t>VENMO*DUPATI JOSHUA NEW YORK CITY NY 662578  08/18</t>
  </si>
  <si>
    <t>73a9bd97</t>
  </si>
  <si>
    <t>TARGET T-1380 WARNER ROBINS GA               08/16</t>
  </si>
  <si>
    <t>41163fc6</t>
  </si>
  <si>
    <t>BJ WHOLESALE #02 6201 BYRON GA       424398  08/16</t>
  </si>
  <si>
    <t>Acquired items</t>
  </si>
  <si>
    <t>d5e4bf8f</t>
  </si>
  <si>
    <t>Tithing (10%)</t>
  </si>
  <si>
    <t>AMAZON MKTPL*5A5QO64 Amzn.com/bill WA        08/17</t>
  </si>
  <si>
    <t>8fcd14ca</t>
  </si>
  <si>
    <t>AMAZON MKTPL*5A3JZ2A Amzn.com/bill WA        08/17</t>
  </si>
  <si>
    <t>2c9690ba</t>
  </si>
  <si>
    <t>Pending outlay</t>
  </si>
  <si>
    <t>Amazon.com*5A0AW3A80 Amzn.com/bill WA        08/17</t>
  </si>
  <si>
    <t>44180dad</t>
  </si>
  <si>
    <t>AMAZON MKTPL*5A7TJ7E Amzn.com/bill WA        08/17</t>
  </si>
  <si>
    <t>91f1b72a</t>
  </si>
  <si>
    <t>Amazon.com*5A01B7AG0 Amzn.com/bill WA        08/17</t>
  </si>
  <si>
    <t>62a45c91</t>
  </si>
  <si>
    <t>Amazon.com*5A16J9EM0 Amzn.com/bill WA        08/17</t>
  </si>
  <si>
    <t>b6afde01</t>
  </si>
  <si>
    <t>AMAZON MKTPL*5A1KJ0E Amzn.com/bill WA        08/17</t>
  </si>
  <si>
    <t>020688b7</t>
  </si>
  <si>
    <t>AMAZON MKTPL*5A7WI70 Amzn.com/bill WA        08/17</t>
  </si>
  <si>
    <t>f23b3f47</t>
  </si>
  <si>
    <t>AMAZON MKTPL*5A4T24E Amzn.com/bill WA        08/17</t>
  </si>
  <si>
    <t>f1f1119c</t>
  </si>
  <si>
    <t>AMAZON MKTPL*5A1C420 Amzn.com/bill WA        08/17</t>
  </si>
  <si>
    <t>7. Monthly Allocations</t>
  </si>
  <si>
    <t>a33e6eba</t>
  </si>
  <si>
    <t>AMAZON MKTPL*5A4BQ1A Amzn.com/bill WA        08/17</t>
  </si>
  <si>
    <t>faecf97c</t>
  </si>
  <si>
    <t>Amazon.com*5A5IZ4A50 Amzn.com/bill WA        08/17</t>
  </si>
  <si>
    <t>38ad3445</t>
  </si>
  <si>
    <t>3. Fixed Living Expenses &amp; Housing</t>
  </si>
  <si>
    <t>Amazon.com*5A1EF13S0 Amzn.com/bill WA        08/17</t>
  </si>
  <si>
    <t>a655fbb0</t>
  </si>
  <si>
    <t>Amazon.com*5A8QP2JT1 Amzn.com/bill WA        08/17</t>
  </si>
  <si>
    <t>576a06de</t>
  </si>
  <si>
    <t>Amazon.com*5A7E42JM1 Amzn.com/bill WA        08/17</t>
  </si>
  <si>
    <t>ca2e3d4b</t>
  </si>
  <si>
    <t>AMAZON MKTPL*5A61X9J Amzn.com/bill WA        08/17</t>
  </si>
  <si>
    <t>c9d8bac0</t>
  </si>
  <si>
    <t>PUBLIX #1291 BYRON GA                        08/16</t>
  </si>
  <si>
    <t>3b7f2b9a</t>
  </si>
  <si>
    <t>SUBWAY 39544 WARNER ROBINS GA                08/16</t>
  </si>
  <si>
    <t>Rent</t>
  </si>
  <si>
    <t>HOPE CHURCH 478-9537898 GA                   08/16</t>
  </si>
  <si>
    <t>Giving</t>
  </si>
  <si>
    <t>84a83cb8</t>
  </si>
  <si>
    <t>AMAZON MKTPL*5A91Z0J Amzn.com/bill WA        08/16</t>
  </si>
  <si>
    <t>Category</t>
  </si>
  <si>
    <t>4c8b0334</t>
  </si>
  <si>
    <t>BUC-EE'S #0051 FORT VALLEY GA                08/15</t>
  </si>
  <si>
    <t>1f5469db</t>
  </si>
  <si>
    <t>Item Name</t>
  </si>
  <si>
    <t>AMAZON MKTPL*5H9MP1Y Amzn.com/bill WA        08/16</t>
  </si>
  <si>
    <t>c47610a7</t>
  </si>
  <si>
    <t>Amazon.com*5A9C31NI1 Amzn.com/bill WA        08/16</t>
  </si>
  <si>
    <t>Priority</t>
  </si>
  <si>
    <t>8390f7c3</t>
  </si>
  <si>
    <t>Electricity</t>
  </si>
  <si>
    <t>WM SUPERCENTER #1367 WARNER ROBINS GA        08/15</t>
  </si>
  <si>
    <t>Target Timeline</t>
  </si>
  <si>
    <t>f5c4b34f</t>
  </si>
  <si>
    <t>CVS/PHARMACY #01586 WARNER ROBINS GA         08/15</t>
  </si>
  <si>
    <t>Estimated Cost</t>
  </si>
  <si>
    <t>a1ff129c</t>
  </si>
  <si>
    <t>Roth IRA</t>
  </si>
  <si>
    <t>TIDAL WAVE WARNER ROB 170-69380991 GA        08/15</t>
  </si>
  <si>
    <t>40e8af04</t>
  </si>
  <si>
    <t>Status</t>
  </si>
  <si>
    <t>TERIYAKI JAPAN MACON GA                      08/15</t>
  </si>
  <si>
    <t>Notes</t>
  </si>
  <si>
    <t>70714aca</t>
  </si>
  <si>
    <t>AMAZON MKTPL*5A1AW1C Amzn.com/bill WA        08/15</t>
  </si>
  <si>
    <t>Water</t>
  </si>
  <si>
    <t>309ae1b2</t>
  </si>
  <si>
    <t>Musical Instruments</t>
  </si>
  <si>
    <t>AMAZON MKTPL*5A2IX0C Amzn.com/bill WA        08/15</t>
  </si>
  <si>
    <t>Trading &amp; Crypto</t>
  </si>
  <si>
    <t>49fb4d69</t>
  </si>
  <si>
    <t>AMAZON MKTPL*5H02W1R Amzn.com/bill WA        08/16</t>
  </si>
  <si>
    <t>Guitar</t>
  </si>
  <si>
    <t>f7963050</t>
  </si>
  <si>
    <t>SQ *TASTE AND SEE COFFE Macon GA             08/15</t>
  </si>
  <si>
    <t>7e71f3e9</t>
  </si>
  <si>
    <t>PARK MACON 478-7383981 GA                    08/15</t>
  </si>
  <si>
    <t>4. Subscriptions &amp; Recurring Services</t>
  </si>
  <si>
    <t>23548c7c</t>
  </si>
  <si>
    <t>AMAZON MKTPL*5H6CV4U Amzn.com/bill WA        08/15</t>
  </si>
  <si>
    <t>Public</t>
  </si>
  <si>
    <t>d696b3dc</t>
  </si>
  <si>
    <t>AMAZON MKTPL*5H6SS19 Amzn.com/bill WA        08/15</t>
  </si>
  <si>
    <t>e8676751</t>
  </si>
  <si>
    <t>AMAZON MKTPL*5A7LS2C Amzn.com/bill WA        08/15</t>
  </si>
  <si>
    <t>4d6b7cec</t>
  </si>
  <si>
    <t>AMAZON MKTPL*5A1YW9C Amzn.com/bill WA        08/15</t>
  </si>
  <si>
    <t>Google One</t>
  </si>
  <si>
    <t>a106617a</t>
  </si>
  <si>
    <t>TACO BELL #029101 WARNER ROBINS GA           08/14</t>
  </si>
  <si>
    <t>CHICK-FIL-A #04570 WARNER ROBINS GA          08/14</t>
  </si>
  <si>
    <t>High</t>
  </si>
  <si>
    <t>Alpaca</t>
  </si>
  <si>
    <t>429ddf64</t>
  </si>
  <si>
    <t>AMAZON PRIME*JJ9WH34 Amzn.com/bill WA        08/14</t>
  </si>
  <si>
    <t>Q1 2027</t>
  </si>
  <si>
    <t>8aa61032</t>
  </si>
  <si>
    <t>GOOGLE *Google One 855-836-3987 CA           08/14</t>
  </si>
  <si>
    <t>83c92935</t>
  </si>
  <si>
    <t>Online Transfer from SAV ...0613 transaction#: 30437819471</t>
  </si>
  <si>
    <t>16a1fdaf</t>
  </si>
  <si>
    <t>Online Transfer to CHK ...9861 transaction#: 30418433783 08/14</t>
  </si>
  <si>
    <t>Online Transfer to CHK ...9861 transaction#: 30418431173 08/14</t>
  </si>
  <si>
    <t>BEST BUY      000118 WARNER ROBINS GA551040  08/14</t>
  </si>
  <si>
    <t>3f439e2d</t>
  </si>
  <si>
    <t>Online Transfer to SAV ...0613 transaction#: 30402860105 08/14</t>
  </si>
  <si>
    <t>70d2e454</t>
  </si>
  <si>
    <t>3fd0851d</t>
  </si>
  <si>
    <t>DD/BR #340542 WARNER ROBINS GA               08/06</t>
  </si>
  <si>
    <t>2300a235</t>
  </si>
  <si>
    <t>AAFES-ROBINS EXPRESS NE ROBINS AFB GA        08/04</t>
  </si>
  <si>
    <t>Planned</t>
  </si>
  <si>
    <t>02e7156a</t>
  </si>
  <si>
    <t>Pointe Grand Byr RENT       270105232       WEB ID: 1861072180</t>
  </si>
  <si>
    <t>Acoustic / electric guitar setup</t>
  </si>
  <si>
    <t>Spotify</t>
  </si>
  <si>
    <t>Total Allocations</t>
  </si>
  <si>
    <t>Dj Controller</t>
  </si>
  <si>
    <t>Medium</t>
  </si>
  <si>
    <t>Q2 2027</t>
  </si>
  <si>
    <t>Pioneer DDJ or similar performance controller</t>
  </si>
  <si>
    <t>Roli Piano</t>
  </si>
  <si>
    <t>Amazon</t>
  </si>
  <si>
    <t>Unallocated Funds</t>
  </si>
  <si>
    <t>Q3 2027</t>
  </si>
  <si>
    <t>frequency</t>
  </si>
  <si>
    <t>due_day</t>
  </si>
  <si>
    <t>Roli Seaboard / Lumi Keys MIDI keyboard</t>
  </si>
  <si>
    <t>active</t>
  </si>
  <si>
    <t>recurring_id</t>
  </si>
  <si>
    <t>Tithing</t>
  </si>
  <si>
    <t>monthly</t>
  </si>
  <si>
    <t>Software / Music</t>
  </si>
  <si>
    <t>Beats Pill</t>
  </si>
  <si>
    <t>r5ca403fd</t>
  </si>
  <si>
    <t>Low</t>
  </si>
  <si>
    <t>Total Monthly Subscriptions</t>
  </si>
  <si>
    <t>rb0756106</t>
  </si>
  <si>
    <t>Portable Bluetooth wireless speaker</t>
  </si>
  <si>
    <t>rcf1d247f</t>
  </si>
  <si>
    <t>Electronics &amp; Wearables</t>
  </si>
  <si>
    <t>r12e9d0d1</t>
  </si>
  <si>
    <t>Whoop</t>
  </si>
  <si>
    <t>r3bb2d7f2</t>
  </si>
  <si>
    <t>r17a5588d</t>
  </si>
  <si>
    <t>rd64c1ceb</t>
  </si>
  <si>
    <t>Whoop 4.0 health tracker band &amp; 1-yr membership</t>
  </si>
  <si>
    <t>r99197663</t>
  </si>
  <si>
    <t>Anthropic</t>
  </si>
  <si>
    <t>Oura ring</t>
  </si>
  <si>
    <t>rd147bbe8</t>
  </si>
  <si>
    <t>Uppbeat</t>
  </si>
  <si>
    <t>r5be3fd4a</t>
  </si>
  <si>
    <t>Oura Ring Gen 3 / Horizon smart ring</t>
  </si>
  <si>
    <t>Ridge wallet</t>
  </si>
  <si>
    <t>Slim RFID-blocking minimalist aluminum wallet</t>
  </si>
  <si>
    <t>5. Variable Needs</t>
  </si>
  <si>
    <t>PS5</t>
  </si>
  <si>
    <t>Sony PlayStation 5 Slim console</t>
  </si>
  <si>
    <t>Insta360 gimbal</t>
  </si>
  <si>
    <t>month</t>
  </si>
  <si>
    <t>Insta360 Flow AI-tracking mobile stabilizer</t>
  </si>
  <si>
    <t>planned_amount</t>
  </si>
  <si>
    <t>2026-09</t>
  </si>
  <si>
    <t>AirPods Max 2</t>
  </si>
  <si>
    <t>Outside Food / Dining</t>
  </si>
  <si>
    <t>Apple AirPods Max over-ear headphones (USB-C)</t>
  </si>
  <si>
    <t>AirPods 5</t>
  </si>
  <si>
    <t>Total Variable Needs</t>
  </si>
  <si>
    <t>Apple AirPods wireless earbuds</t>
  </si>
  <si>
    <t>Clothing</t>
  </si>
  <si>
    <t>Fear of God Jacket</t>
  </si>
  <si>
    <t>bucket</t>
  </si>
  <si>
    <t>Q4 2026</t>
  </si>
  <si>
    <t>allocation_type</t>
  </si>
  <si>
    <t>value</t>
  </si>
  <si>
    <t>target_account</t>
  </si>
  <si>
    <t>fixed</t>
  </si>
  <si>
    <t>Essentials outerwear coach / puff jacket</t>
  </si>
  <si>
    <t>Fear of God Pants</t>
  </si>
  <si>
    <t>percent</t>
  </si>
  <si>
    <t>Essentials relaxed fleece lounge sweatpants</t>
  </si>
  <si>
    <t>LV fake belt</t>
  </si>
  <si>
    <t>Louis Vuitton monogram style casual belt</t>
  </si>
  <si>
    <t>Adidas Sambas shoes</t>
  </si>
  <si>
    <t>key</t>
  </si>
  <si>
    <t>paycheck_net</t>
  </si>
  <si>
    <t>pay_frequency</t>
  </si>
  <si>
    <t>biweekly</t>
  </si>
  <si>
    <t>pay_anchor_date</t>
  </si>
  <si>
    <t>2026-09-04</t>
  </si>
  <si>
    <t>Classic indoor / lifestyle low-top sneakers</t>
  </si>
  <si>
    <t>Jordan 1 Travis mocha and pink</t>
  </si>
  <si>
    <t>Air Jordan 1 Retro Low Travis Scott colorway</t>
  </si>
  <si>
    <t>Lululemon Shorts</t>
  </si>
  <si>
    <t>Debt ID</t>
  </si>
  <si>
    <t>Name</t>
  </si>
  <si>
    <t>Type</t>
  </si>
  <si>
    <t>Lululemon athletic training shorts</t>
  </si>
  <si>
    <t>Balance</t>
  </si>
  <si>
    <t>APR</t>
  </si>
  <si>
    <t>Minimum Payment</t>
  </si>
  <si>
    <t>Due Day</t>
  </si>
  <si>
    <t>Account ID</t>
  </si>
  <si>
    <t>Adidas Shorts</t>
  </si>
  <si>
    <t>Adidas performance workout shorts</t>
  </si>
  <si>
    <t>On Cloud Shoes</t>
  </si>
  <si>
    <t>On Cloud athletic footwear</t>
  </si>
  <si>
    <t>Target Shorts</t>
  </si>
  <si>
    <t>Target All in Motion gym shorts</t>
  </si>
  <si>
    <t>Hats mlb</t>
  </si>
  <si>
    <t>Fitted / snapback MLB baseball caps (2-3 pack)</t>
  </si>
  <si>
    <t>Home Furnishings</t>
  </si>
  <si>
    <t>Shoe rack</t>
  </si>
  <si>
    <t>Multi-tier entryway shoe / sneaker storage shelf</t>
  </si>
  <si>
    <t>TV Shelf</t>
  </si>
  <si>
    <t>Modern floating TV shelf / entertainment console</t>
  </si>
  <si>
    <t>Dyson Vacuum</t>
  </si>
  <si>
    <t>Dyson cordless stick vacuum cleaner</t>
  </si>
  <si>
    <t>Dyson Air Dryer</t>
  </si>
  <si>
    <t>Dyson Supersonic hair dryer</t>
  </si>
  <si>
    <t>Other Items</t>
  </si>
  <si>
    <t>Non lethal</t>
  </si>
  <si>
    <t>Personal safety &amp; protection defense device</t>
  </si>
  <si>
    <t>Solos Energy Drinks</t>
  </si>
  <si>
    <t>Solos energy drinks case</t>
  </si>
  <si>
    <t>Protein Energy Drinks</t>
  </si>
  <si>
    <t>Protein shake &amp; energy drink pack</t>
  </si>
  <si>
    <t>Coconut Water</t>
  </si>
  <si>
    <t>Pure coconut water cases</t>
  </si>
  <si>
    <t>Whitening strips</t>
  </si>
  <si>
    <t>Professional dental teeth whitening strip kit</t>
  </si>
  <si>
    <t>Others</t>
  </si>
  <si>
    <t>Bible</t>
  </si>
  <si>
    <t>Study Bible leather edition</t>
  </si>
  <si>
    <t>Scrap Book</t>
  </si>
  <si>
    <t>Personal memory &amp; photo scrapbook journal</t>
  </si>
  <si>
    <t>Bracelet chain x3?</t>
  </si>
  <si>
    <t>Sterling silver / steel chain bracelets (set of 3)</t>
  </si>
  <si>
    <t>Motorcycle</t>
  </si>
  <si>
    <t>Street motorcycle</t>
  </si>
  <si>
    <t>Item ID</t>
  </si>
  <si>
    <t>Price</t>
  </si>
  <si>
    <t>Motorcycle Helmet</t>
  </si>
  <si>
    <t>URL</t>
  </si>
  <si>
    <t>Added On</t>
  </si>
  <si>
    <t>Target Date</t>
  </si>
  <si>
    <t>DOT-certified full-face safety helmet</t>
  </si>
  <si>
    <t>Birkenstocks</t>
  </si>
  <si>
    <t>Birkenstock Arizona sandals</t>
  </si>
  <si>
    <t>Casual Boots</t>
  </si>
  <si>
    <t>Casual leather boots</t>
  </si>
  <si>
    <t>Total</t>
  </si>
  <si>
    <t>Goal ID</t>
  </si>
  <si>
    <t>Target Amount</t>
  </si>
  <si>
    <t>Saved Amount</t>
  </si>
  <si>
    <t>Bucket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</si>
</sst>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$#,##0.00"/>
    <numFmt numFmtId="165" formatCode="yyyy-mm-dd"/>
    <numFmt numFmtId="166" formatCode="&quot;$&quot;#,##0.00"/>
    <numFmt numFmtId="167" formatCode="0.0%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Google Sans"/>
    </font>
    <font>
      <b/>
      <sz val="16.0"/>
      <color rgb="FF183F1E"/>
      <name val="Roboto"/>
    </font>
    <font>
      <b/>
      <color rgb="FFFFFFFF"/>
      <name val="Arial"/>
      <scheme val="minor"/>
    </font>
    <font>
      <i/>
      <sz val="10.0"/>
      <color rgb="FF71796E"/>
      <name val="Roboto"/>
    </font>
    <font>
      <b/>
      <sz val="9.0"/>
      <color rgb="FF3B6939"/>
      <name val="Roboto"/>
    </font>
    <font>
      <b/>
      <color rgb="FFFFFFFF"/>
      <name val="Google Sans"/>
    </font>
    <font/>
    <font>
      <sz val="10.0"/>
      <color theme="1"/>
      <name val="Google Sans"/>
    </font>
    <font>
      <b/>
      <sz val="16.0"/>
      <color rgb="FF181D16"/>
      <name val="Roboto"/>
    </font>
    <font>
      <color rgb="FF000000"/>
      <name val="Google Sans"/>
    </font>
    <font>
      <sz val="8.0"/>
      <color rgb="FF71796E"/>
      <name val="Roboto"/>
    </font>
    <font>
      <b/>
      <sz val="10.0"/>
      <color rgb="FFFFFFFF"/>
      <name val="Google Sans"/>
    </font>
    <font>
      <b/>
      <sz val="10.0"/>
      <color rgb="FFFFFFFF"/>
      <name val="Roboto"/>
    </font>
    <font>
      <sz val="9.0"/>
      <color rgb="FF191C16"/>
      <name val="Roboto"/>
    </font>
    <font>
      <b/>
      <sz val="10.0"/>
      <color rgb="FF191C16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36693D"/>
        <bgColor rgb="FF36693D"/>
      </patternFill>
    </fill>
    <fill>
      <patternFill patternType="solid">
        <fgColor rgb="FF3B6939"/>
        <bgColor rgb="FF3B6939"/>
      </patternFill>
    </fill>
    <fill>
      <patternFill patternType="solid">
        <fgColor rgb="FFF7FAF0"/>
        <bgColor rgb="FFF7FAF0"/>
      </patternFill>
    </fill>
    <fill>
      <patternFill patternType="solid">
        <fgColor rgb="FFFFFFFF"/>
        <bgColor rgb="FFFFFFFF"/>
      </patternFill>
    </fill>
    <fill>
      <patternFill patternType="solid">
        <fgColor rgb="FFEDF2E8"/>
        <bgColor rgb="FFEDF2E8"/>
      </patternFill>
    </fill>
  </fills>
  <borders count="8">
    <border/>
    <border>
      <left style="thin">
        <color rgb="FFD5E8CE"/>
      </left>
      <top style="thin">
        <color rgb="FFD5E8CE"/>
      </top>
    </border>
    <border>
      <right style="thin">
        <color rgb="FFD5E8CE"/>
      </right>
      <top style="thin">
        <color rgb="FFD5E8CE"/>
      </top>
    </border>
    <border>
      <left style="thin">
        <color rgb="FFD5E8CE"/>
      </left>
    </border>
    <border>
      <right style="thin">
        <color rgb="FFD5E8CE"/>
      </right>
    </border>
    <border>
      <left style="thin">
        <color rgb="FFD5E8CE"/>
      </left>
      <bottom style="thin">
        <color rgb="FFD5E8CE"/>
      </bottom>
    </border>
    <border>
      <right style="thin">
        <color rgb="FFD5E8CE"/>
      </right>
      <bottom style="thin">
        <color rgb="FFD5E8CE"/>
      </bottom>
    </border>
    <border>
      <top style="thin">
        <color rgb="FF3B6939"/>
      </top>
      <bottom style="double">
        <color rgb="FF3B6939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164" xfId="0" applyFont="1" applyNumberFormat="1"/>
    <xf quotePrefix="1"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2" fontId="5" numFmtId="0" xfId="0" applyFill="1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3" numFmtId="10" xfId="0" applyFont="1" applyNumberFormat="1"/>
    <xf borderId="0" fillId="0" fontId="6" numFmtId="0" xfId="0" applyAlignment="1" applyFont="1">
      <alignment readingOrder="0"/>
    </xf>
    <xf borderId="0" fillId="0" fontId="6" numFmtId="0" xfId="0" applyFont="1"/>
    <xf borderId="0" fillId="3" fontId="5" numFmtId="0" xfId="0" applyAlignment="1" applyFill="1" applyFont="1">
      <alignment readingOrder="0"/>
    </xf>
    <xf borderId="0" fillId="0" fontId="3" numFmtId="166" xfId="0" applyFont="1" applyNumberFormat="1"/>
    <xf borderId="0" fillId="3" fontId="5" numFmtId="0" xfId="0" applyFill="1" applyFont="1"/>
    <xf borderId="0" fillId="0" fontId="5" numFmtId="0" xfId="0" applyFont="1"/>
    <xf borderId="1" fillId="4" fontId="7" numFmtId="0" xfId="0" applyAlignment="1" applyBorder="1" applyFill="1" applyFont="1">
      <alignment horizontal="center" readingOrder="0" vertical="center"/>
    </xf>
    <xf borderId="0" fillId="3" fontId="8" numFmtId="0" xfId="0" applyAlignment="1" applyFill="1" applyFont="1">
      <alignment readingOrder="0"/>
    </xf>
    <xf borderId="2" fillId="0" fontId="9" numFmtId="0" xfId="0" applyBorder="1" applyFont="1"/>
    <xf borderId="0" fillId="3" fontId="8" numFmtId="0" xfId="0" applyFill="1" applyFont="1"/>
    <xf borderId="0" fillId="0" fontId="3" numFmtId="165" xfId="0" applyFont="1" applyNumberFormat="1"/>
    <xf borderId="0" fillId="4" fontId="10" numFmtId="0" xfId="0" applyAlignment="1" applyFill="1" applyFont="1">
      <alignment readingOrder="0"/>
    </xf>
    <xf borderId="0" fillId="4" fontId="10" numFmtId="166" xfId="0" applyAlignment="1" applyFill="1" applyFont="1" applyNumberForma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right" readingOrder="0"/>
    </xf>
    <xf borderId="0" fillId="5" fontId="10" numFmtId="0" xfId="0" applyAlignment="1" applyFill="1" applyFont="1">
      <alignment readingOrder="0"/>
    </xf>
    <xf borderId="0" fillId="5" fontId="10" numFmtId="166" xfId="0" applyAlignment="1" applyFill="1" applyFont="1" applyNumberFormat="1">
      <alignment readingOrder="0"/>
    </xf>
    <xf borderId="3" fillId="4" fontId="11" numFmtId="164" xfId="0" applyAlignment="1" applyBorder="1" applyFill="1" applyFont="1" applyNumberFormat="1">
      <alignment horizontal="center" vertical="center"/>
    </xf>
    <xf borderId="4" fillId="0" fontId="9" numFmtId="0" xfId="0" applyBorder="1" applyFont="1"/>
    <xf borderId="3" fillId="4" fontId="11" numFmtId="3" xfId="0" applyAlignment="1" applyBorder="1" applyFill="1" applyFont="1" applyNumberFormat="1">
      <alignment horizontal="center" vertical="center"/>
    </xf>
    <xf borderId="0" fillId="0" fontId="3" numFmtId="167" xfId="0" applyFont="1" applyNumberFormat="1"/>
    <xf borderId="0" fillId="5" fontId="10" numFmtId="166" xfId="0" applyFill="1" applyFont="1" applyNumberFormat="1"/>
    <xf borderId="0" fillId="2" fontId="5" numFmtId="0" xfId="0" applyAlignment="1" applyFill="1" applyFont="1">
      <alignment shrinkToFit="0" wrapText="1"/>
    </xf>
    <xf borderId="0" fillId="5" fontId="2" numFmtId="0" xfId="0" applyFill="1" applyFont="1"/>
    <xf borderId="0" fillId="0" fontId="3" numFmtId="165" xfId="0" applyFont="1" applyNumberFormat="1"/>
    <xf borderId="0" fillId="5" fontId="3" numFmtId="0" xfId="0" applyAlignment="1" applyFill="1" applyFont="1">
      <alignment readingOrder="0"/>
    </xf>
    <xf borderId="0" fillId="0" fontId="3" numFmtId="166" xfId="0" applyFont="1" applyNumberFormat="1"/>
    <xf borderId="0" fillId="5" fontId="3" numFmtId="166" xfId="0" applyFill="1" applyFont="1" applyNumberFormat="1"/>
    <xf borderId="0" fillId="0" fontId="3" numFmtId="0" xfId="0" applyFont="1"/>
    <xf borderId="0" fillId="5" fontId="12" numFmtId="0" xfId="0" applyAlignment="1" applyFill="1" applyFont="1">
      <alignment readingOrder="0"/>
    </xf>
    <xf borderId="0" fillId="5" fontId="12" numFmtId="166" xfId="0" applyFill="1" applyFont="1" applyNumberFormat="1"/>
    <xf borderId="3" fillId="4" fontId="11" numFmtId="167" xfId="0" applyAlignment="1" applyBorder="1" applyFill="1" applyFont="1" applyNumberFormat="1">
      <alignment horizontal="center" vertical="center"/>
    </xf>
    <xf borderId="0" fillId="0" fontId="3" numFmtId="164" xfId="0" applyAlignment="1" applyFont="1" applyNumberFormat="1">
      <alignment horizontal="right"/>
    </xf>
    <xf borderId="0" fillId="0" fontId="3" numFmtId="165" xfId="0" applyAlignment="1" applyFont="1" applyNumberFormat="1">
      <alignment readingOrder="0"/>
    </xf>
    <xf borderId="5" fillId="4" fontId="13" numFmtId="0" xfId="0" applyAlignment="1" applyBorder="1" applyFill="1" applyFont="1">
      <alignment horizontal="center" readingOrder="0" vertical="center"/>
    </xf>
    <xf borderId="0" fillId="3" fontId="5" numFmtId="166" xfId="0" applyAlignment="1" applyFill="1" applyFont="1" applyNumberFormat="1">
      <alignment readingOrder="0"/>
    </xf>
    <xf borderId="0" fillId="0" fontId="3" numFmtId="166" xfId="0" applyAlignment="1" applyFont="1" applyNumberFormat="1">
      <alignment readingOrder="0"/>
    </xf>
    <xf borderId="6" fillId="0" fontId="9" numFmtId="0" xfId="0" applyBorder="1" applyFont="1"/>
    <xf borderId="0" fillId="0" fontId="3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2" numFmtId="166" xfId="0" applyFont="1" applyNumberFormat="1"/>
    <xf borderId="0" fillId="5" fontId="10" numFmtId="0" xfId="0" applyAlignment="1" applyFill="1" applyFont="1">
      <alignment readingOrder="0"/>
    </xf>
    <xf borderId="0" fillId="5" fontId="10" numFmtId="166" xfId="0" applyAlignment="1" applyFill="1" applyFont="1" applyNumberFormat="1">
      <alignment readingOrder="0"/>
    </xf>
    <xf borderId="0" fillId="3" fontId="8" numFmtId="0" xfId="0" applyAlignment="1" applyFill="1" applyFont="1">
      <alignment readingOrder="0"/>
    </xf>
    <xf borderId="0" fillId="3" fontId="14" numFmtId="0" xfId="0" applyAlignment="1" applyFill="1" applyFont="1">
      <alignment readingOrder="0"/>
    </xf>
    <xf borderId="0" fillId="3" fontId="14" numFmtId="166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5" fillId="4" fontId="13" numFmtId="0" xfId="0" applyAlignment="1" applyBorder="1" applyFill="1" applyFont="1">
      <alignment horizontal="center" vertical="center"/>
    </xf>
    <xf borderId="0" fillId="4" fontId="10" numFmtId="0" xfId="0" applyAlignment="1" applyFill="1" applyFont="1">
      <alignment horizontal="left" readingOrder="0"/>
    </xf>
    <xf borderId="0" fillId="4" fontId="10" numFmtId="166" xfId="0" applyAlignment="1" applyFill="1" applyFont="1" applyNumberFormat="1">
      <alignment horizontal="right" readingOrder="0"/>
    </xf>
    <xf borderId="0" fillId="3" fontId="15" numFmtId="0" xfId="0" applyAlignment="1" applyFill="1" applyFont="1">
      <alignment horizontal="left" readingOrder="0" vertical="center"/>
    </xf>
    <xf borderId="0" fillId="3" fontId="15" numFmtId="0" xfId="0" applyAlignment="1" applyFill="1" applyFont="1">
      <alignment horizontal="center" readingOrder="0" vertical="center"/>
    </xf>
    <xf borderId="0" fillId="5" fontId="10" numFmtId="0" xfId="0" applyAlignment="1" applyFill="1" applyFont="1">
      <alignment horizontal="left" readingOrder="0"/>
    </xf>
    <xf borderId="0" fillId="5" fontId="10" numFmtId="166" xfId="0" applyAlignment="1" applyFill="1" applyFont="1" applyNumberFormat="1">
      <alignment horizontal="right" readingOrder="0"/>
    </xf>
    <xf borderId="0" fillId="3" fontId="15" numFmtId="0" xfId="0" applyAlignment="1" applyFill="1" applyFont="1">
      <alignment horizontal="right" readingOrder="0" vertical="center"/>
    </xf>
    <xf borderId="0" fillId="0" fontId="16" numFmtId="0" xfId="0" applyAlignment="1" applyFont="1">
      <alignment horizontal="left" readingOrder="0" vertical="center"/>
    </xf>
    <xf borderId="0" fillId="0" fontId="12" numFmtId="166" xfId="0" applyAlignment="1" applyFont="1" applyNumberFormat="1">
      <alignment readingOrder="0"/>
    </xf>
    <xf borderId="0" fillId="0" fontId="16" numFmtId="0" xfId="0" applyAlignment="1" applyFont="1">
      <alignment horizontal="center" readingOrder="0" vertical="center"/>
    </xf>
    <xf borderId="0" fillId="0" fontId="16" numFmtId="164" xfId="0" applyAlignment="1" applyFont="1" applyNumberFormat="1">
      <alignment horizontal="right" readingOrder="0" vertical="center"/>
    </xf>
    <xf borderId="0" fillId="0" fontId="1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12" numFmtId="0" xfId="0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3" numFmtId="0" xfId="0" applyAlignment="1" applyFont="1">
      <alignment readingOrder="0"/>
    </xf>
    <xf borderId="0" fillId="0" fontId="2" numFmtId="167" xfId="0" applyFont="1" applyNumberFormat="1"/>
    <xf borderId="7" fillId="6" fontId="17" numFmtId="0" xfId="0" applyAlignment="1" applyBorder="1" applyFill="1" applyFont="1">
      <alignment readingOrder="0" vertical="center"/>
    </xf>
    <xf borderId="7" fillId="6" fontId="17" numFmtId="0" xfId="0" applyAlignment="1" applyBorder="1" applyFill="1" applyFont="1">
      <alignment vertical="center"/>
    </xf>
    <xf borderId="7" fillId="6" fontId="17" numFmtId="164" xfId="0" applyAlignment="1" applyBorder="1" applyFill="1" applyFont="1" applyNumberFormat="1">
      <alignment horizontal="righ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7FBF2"/>
          <bgColor rgb="FFF7FB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B6939"/>
          <bgColor rgb="FF3B6939"/>
        </patternFill>
      </fill>
      <border/>
    </dxf>
    <dxf>
      <font/>
      <fill>
        <patternFill patternType="solid">
          <fgColor rgb="FFF7FAF0"/>
          <bgColor rgb="FFF7FAF0"/>
        </patternFill>
      </fill>
      <border/>
    </dxf>
  </dxfs>
  <tableStyles count="9">
    <tableStyle count="2" pivot="0" name="Debt Tracker-style">
      <tableStyleElement dxfId="1" type="firstRowStripe"/>
      <tableStyleElement dxfId="2" type="secondRowStripe"/>
    </tableStyle>
    <tableStyle count="3" pivot="0" name="Budget Sheet-style">
      <tableStyleElement dxfId="3" type="headerRow"/>
      <tableStyleElement dxfId="4" type="firstRowStripe"/>
      <tableStyleElement dxfId="2" type="secondRowStripe"/>
    </tableStyle>
    <tableStyle count="3" pivot="0" name="Wishlist &amp; Purchases-style">
      <tableStyleElement dxfId="3" type="headerRow"/>
      <tableStyleElement dxfId="2" type="firstRowStripe"/>
      <tableStyleElement dxfId="4" type="secondRowStripe"/>
    </tableStyle>
    <tableStyle count="3" pivot="0" name="Budget Sheet-style 2">
      <tableStyleElement dxfId="3" type="headerRow"/>
      <tableStyleElement dxfId="4" type="firstRowStripe"/>
      <tableStyleElement dxfId="2" type="secondRowStripe"/>
    </tableStyle>
    <tableStyle count="3" pivot="0" name="Budget Sheet-style 3">
      <tableStyleElement dxfId="3" type="headerRow"/>
      <tableStyleElement dxfId="4" type="firstRowStripe"/>
      <tableStyleElement dxfId="2" type="secondRowStripe"/>
    </tableStyle>
    <tableStyle count="3" pivot="0" name="Budget Sheet-style 4">
      <tableStyleElement dxfId="3" type="headerRow"/>
      <tableStyleElement dxfId="4" type="firstRowStripe"/>
      <tableStyleElement dxfId="2" type="secondRowStripe"/>
    </tableStyle>
    <tableStyle count="3" pivot="0" name="Budget Sheet-style 5">
      <tableStyleElement dxfId="3" type="headerRow"/>
      <tableStyleElement dxfId="4" type="firstRowStripe"/>
      <tableStyleElement dxfId="2" type="secondRowStripe"/>
    </tableStyle>
    <tableStyle count="3" pivot="0" name="Budget Sheet-style 6">
      <tableStyleElement dxfId="3" type="headerRow"/>
      <tableStyleElement dxfId="4" type="firstRowStripe"/>
      <tableStyleElement dxfId="2" type="secondRowStripe"/>
    </tableStyle>
    <tableStyle count="3" pivot="0" name="Budget Sheet-style 7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C8" displayName="Table_1" name="Table_1" id="2">
  <tableColumns count="2">
    <tableColumn name="Column1" id="1"/>
    <tableColumn name="Column2" id="2"/>
  </tableColumns>
  <tableStyleInfo name="Budget She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2:G10" displayName="Table_4" name="Table_4" id="4">
  <tableColumns count="2">
    <tableColumn name="Column1" id="1"/>
    <tableColumn name="Column2" id="2"/>
  </tableColumns>
  <tableStyleInfo name="Budget Shee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11:C13" displayName="Table_5" name="Table_5" id="5">
  <tableColumns count="2">
    <tableColumn name="Column1" id="1"/>
    <tableColumn name="Column2" id="2"/>
  </tableColumns>
  <tableStyleInfo name="Budget Sheet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F13:G21" displayName="Table_6" name="Table_6" id="6">
  <tableColumns count="2">
    <tableColumn name="7. Monthly Allocations" id="1"/>
    <tableColumn name="" id="2"/>
  </tableColumns>
  <tableStyleInfo name="Budget Sheet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5:C17" displayName="Table_7" name="Table_7" id="7">
  <tableColumns count="2">
    <tableColumn name="Column1" id="1"/>
    <tableColumn name="Column2" id="2"/>
  </tableColumns>
  <tableStyleInfo name="Budget Sheet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8:C25" displayName="Table_8" name="Table_8" id="8">
  <tableColumns count="2">
    <tableColumn name="Column1" id="1"/>
    <tableColumn name="Column2" id="2"/>
  </tableColumns>
  <tableStyleInfo name="Budget Sheet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27:C31" displayName="Table_9" name="Table_9" id="9">
  <tableColumns count="2">
    <tableColumn name="Column1" id="1"/>
    <tableColumn name="Column2" id="2"/>
  </tableColumns>
  <tableStyleInfo name="Budget Sheet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9:G30" displayName="Table_2" name="Table_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bt Tracker-style" showColumnStripes="0" showFirstColumn="1" showLastColumn="1" showRowStripes="1"/>
</table>
</file>

<file path=xl/tables/table9.xml><?xml version="1.0" encoding="utf-8"?>
<table xmlns="http://schemas.openxmlformats.org/spreadsheetml/2006/main" ref="B7:H44" displayName="Table_3" name="Table_3" id="3">
  <tableColumns count="7">
    <tableColumn name="Category" id="1"/>
    <tableColumn name="Item Name" id="2"/>
    <tableColumn name="Priority" id="3"/>
    <tableColumn name="Target Timeline" id="4"/>
    <tableColumn name="Estimated Cost" id="5"/>
    <tableColumn name="Status" id="6"/>
    <tableColumn name="Notes" id="7"/>
  </tableColumns>
  <tableStyleInfo name="Wishlist &amp; Purch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8.5"/>
    <col customWidth="1" min="3" max="3" width="16.0"/>
    <col customWidth="1" min="4" max="4" width="4.38"/>
    <col customWidth="1" min="6" max="6" width="25.13"/>
    <col customWidth="1" min="7" max="7" width="8.13"/>
  </cols>
  <sheetData>
    <row r="1" ht="6.75" customHeight="1">
      <c r="A1" s="13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17" t="s">
        <v>59</v>
      </c>
      <c r="C2" s="19"/>
      <c r="D2" s="20"/>
      <c r="E2" s="9"/>
      <c r="F2" s="22" t="s">
        <v>69</v>
      </c>
      <c r="G2" s="24"/>
      <c r="H2" s="20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26" t="s">
        <v>92</v>
      </c>
      <c r="C3" s="27">
        <v>2065.2</v>
      </c>
      <c r="D3" s="9"/>
      <c r="E3" s="9"/>
      <c r="F3" s="28" t="s">
        <v>7</v>
      </c>
      <c r="G3" s="29">
        <v>1300.01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30" t="s">
        <v>107</v>
      </c>
      <c r="C4" s="31">
        <f>C3*2</f>
        <v>4130.4</v>
      </c>
      <c r="D4" s="9"/>
      <c r="E4" s="9"/>
      <c r="F4" s="28" t="s">
        <v>12</v>
      </c>
      <c r="G4" s="29">
        <f>VLOOKUP("fidelity_cash",'_Accounts'!A:E,5,FALSE)</f>
        <v>100.06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26" t="s">
        <v>139</v>
      </c>
      <c r="C5" s="27">
        <f>SUM(C12, C15:C17, C23, C31)</f>
        <v>2819.95</v>
      </c>
      <c r="D5" s="35"/>
      <c r="E5" s="9"/>
      <c r="F5" s="28" t="s">
        <v>16</v>
      </c>
      <c r="G5" s="29">
        <v>337.4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30" t="s">
        <v>160</v>
      </c>
      <c r="C6" s="36">
        <f>C4-C5</f>
        <v>1310.45</v>
      </c>
      <c r="D6" s="9"/>
      <c r="E6" s="9"/>
      <c r="F6" s="28" t="s">
        <v>19</v>
      </c>
      <c r="G6" s="29">
        <v>117.28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38"/>
      <c r="C7" s="38"/>
      <c r="D7" s="9"/>
      <c r="E7" s="9"/>
      <c r="F7" s="28" t="s">
        <v>22</v>
      </c>
      <c r="G7" s="29">
        <v>53.02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38"/>
      <c r="C8" s="38"/>
      <c r="D8" s="9"/>
      <c r="E8" s="9"/>
      <c r="F8" s="28" t="s">
        <v>192</v>
      </c>
      <c r="G8" s="29">
        <v>1991.32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40"/>
      <c r="C9" s="42"/>
      <c r="D9" s="20"/>
      <c r="E9" s="9"/>
      <c r="F9" s="28" t="s">
        <v>203</v>
      </c>
      <c r="G9" s="29">
        <v>50.0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44"/>
      <c r="C10" s="45"/>
      <c r="D10" s="9"/>
      <c r="E10" s="9"/>
      <c r="F10" s="28" t="s">
        <v>215</v>
      </c>
      <c r="G10" s="47">
        <f>SUM(G3:G9)</f>
        <v>3949.09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17" t="s">
        <v>235</v>
      </c>
      <c r="C11" s="50"/>
      <c r="D11" s="9"/>
      <c r="E11" s="9"/>
      <c r="F11" s="53" t="s">
        <v>239</v>
      </c>
      <c r="G11" s="9" t="s">
        <v>239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54" t="s">
        <v>248</v>
      </c>
      <c r="C12" s="55">
        <f>C4*0.1</f>
        <v>413.04</v>
      </c>
      <c r="D12" s="9"/>
      <c r="E12" s="9"/>
      <c r="F12" s="53" t="s">
        <v>239</v>
      </c>
      <c r="G12" s="53" t="s">
        <v>239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56"/>
      <c r="C13" s="57"/>
      <c r="D13" s="20"/>
      <c r="E13" s="9"/>
      <c r="F13" s="22" t="s">
        <v>269</v>
      </c>
      <c r="G13" s="58" t="s">
        <v>239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59" t="s">
        <v>275</v>
      </c>
      <c r="C14" s="60"/>
      <c r="D14" s="9"/>
      <c r="E14" s="9"/>
      <c r="F14" s="61" t="s">
        <v>31</v>
      </c>
      <c r="G14" s="51">
        <v>300.0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63" t="s">
        <v>287</v>
      </c>
      <c r="C15" s="64">
        <v>1875.95</v>
      </c>
      <c r="D15" s="9"/>
      <c r="E15" s="9"/>
      <c r="F15" s="61" t="s">
        <v>7</v>
      </c>
      <c r="G15" s="51">
        <v>200.0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67" t="s">
        <v>302</v>
      </c>
      <c r="C16" s="68">
        <v>40.0</v>
      </c>
      <c r="D16" s="20"/>
      <c r="E16" s="9"/>
      <c r="F16" s="61" t="s">
        <v>309</v>
      </c>
      <c r="G16" s="41">
        <v>100.0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63" t="s">
        <v>317</v>
      </c>
      <c r="C17" s="64">
        <v>40.0</v>
      </c>
      <c r="D17" s="9"/>
      <c r="E17" s="9"/>
      <c r="F17" s="61" t="s">
        <v>321</v>
      </c>
      <c r="G17" s="41">
        <v>100.0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17" t="s">
        <v>329</v>
      </c>
      <c r="C18" s="50"/>
      <c r="D18" s="9"/>
      <c r="E18" s="9"/>
      <c r="F18" s="43" t="s">
        <v>332</v>
      </c>
      <c r="G18" s="41">
        <v>100.0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54" t="s">
        <v>339</v>
      </c>
      <c r="C19" s="71">
        <v>19.99</v>
      </c>
      <c r="D19" s="9"/>
      <c r="E19" s="9"/>
      <c r="F19" s="43" t="s">
        <v>344</v>
      </c>
      <c r="G19" s="41">
        <v>100.0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54" t="s">
        <v>367</v>
      </c>
      <c r="C20" s="71">
        <v>12.99</v>
      </c>
      <c r="D20" s="9"/>
      <c r="E20" s="9"/>
      <c r="F20" s="43" t="s">
        <v>368</v>
      </c>
      <c r="G20" s="51">
        <f>SUM(G14:G19)</f>
        <v>900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54" t="s">
        <v>374</v>
      </c>
      <c r="C21" s="71">
        <v>14.99</v>
      </c>
      <c r="D21" s="9"/>
      <c r="E21" s="9"/>
      <c r="F21" s="43" t="s">
        <v>375</v>
      </c>
      <c r="G21" s="51">
        <f>C6-G20</f>
        <v>410.45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54" t="s">
        <v>384</v>
      </c>
      <c r="C22" s="71">
        <v>2.99</v>
      </c>
      <c r="D22" s="9"/>
      <c r="E22" s="9"/>
      <c r="F22" s="9" t="s">
        <v>239</v>
      </c>
      <c r="G22" s="53" t="s">
        <v>239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54" t="s">
        <v>388</v>
      </c>
      <c r="C23" s="55">
        <f>SUM(C19:C22)</f>
        <v>50.96</v>
      </c>
      <c r="D23" s="9"/>
      <c r="E23" s="9"/>
      <c r="F23" s="9" t="s">
        <v>239</v>
      </c>
      <c r="G23" s="53" t="s">
        <v>239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54"/>
      <c r="C24" s="71"/>
      <c r="D24" s="9"/>
      <c r="E24" s="9"/>
      <c r="F24" s="53" t="s">
        <v>239</v>
      </c>
      <c r="G24" s="53" t="s">
        <v>239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54"/>
      <c r="C25" s="55"/>
      <c r="D25" s="9"/>
      <c r="E25" s="9"/>
      <c r="F25" s="53" t="s">
        <v>239</v>
      </c>
      <c r="G25" s="53" t="s">
        <v>239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76"/>
      <c r="C26" s="76"/>
      <c r="D26" s="9"/>
      <c r="E26" s="9"/>
      <c r="F26" s="9" t="s">
        <v>239</v>
      </c>
      <c r="G26" s="9" t="s">
        <v>239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77" t="s">
        <v>408</v>
      </c>
      <c r="C27" s="78"/>
      <c r="D27" s="9"/>
      <c r="E27" s="9"/>
      <c r="F27" s="9" t="s">
        <v>239</v>
      </c>
      <c r="G27" s="9" t="s">
        <v>239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79" t="s">
        <v>57</v>
      </c>
      <c r="C28" s="51">
        <v>250.0</v>
      </c>
      <c r="D28" s="9"/>
      <c r="E28" s="9"/>
      <c r="F28" s="9" t="s">
        <v>239</v>
      </c>
      <c r="G28" s="9" t="s">
        <v>239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79" t="s">
        <v>95</v>
      </c>
      <c r="C29" s="51">
        <v>100.0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79" t="s">
        <v>417</v>
      </c>
      <c r="C30" s="51">
        <v>50.0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79" t="s">
        <v>420</v>
      </c>
      <c r="C31" s="41">
        <f>SUM(C28:C30)</f>
        <v>400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23.25"/>
    <col customWidth="1" min="3" max="3" width="10.5"/>
    <col customWidth="1" min="4" max="4" width="10.63"/>
    <col customWidth="1" min="5" max="5" width="13.13"/>
    <col customWidth="1" min="6" max="6" width="11.13"/>
    <col customWidth="1" min="7" max="7" width="15.0"/>
  </cols>
  <sheetData>
    <row r="1" ht="6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11" t="s">
        <v>27</v>
      </c>
      <c r="C2" s="9" t="s">
        <v>31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11" t="s">
        <v>44</v>
      </c>
      <c r="C3" s="14">
        <v>0.0499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11" t="s">
        <v>61</v>
      </c>
      <c r="C4" s="18">
        <v>3154.88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11" t="s">
        <v>79</v>
      </c>
      <c r="C5" s="25">
        <v>46248.0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11" t="s">
        <v>97</v>
      </c>
      <c r="C6" s="18">
        <f t="array" ref="C6">INDEX(G9:G30, MATCH(MAX(B9:B30), B9:B30, 0)) + INDEX(G9:G30, MATCH(MAX(B9:B30), B9:B30, 0)) * C3 / 365 * (TODAY() - MAX(B9:B30))</f>
        <v>1864.516287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37" t="s">
        <v>168</v>
      </c>
      <c r="C8" s="37" t="s">
        <v>172</v>
      </c>
      <c r="D8" s="37" t="s">
        <v>175</v>
      </c>
      <c r="E8" s="37" t="s">
        <v>176</v>
      </c>
      <c r="F8" s="37" t="s">
        <v>178</v>
      </c>
      <c r="G8" s="37" t="s">
        <v>180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39">
        <f>C5</f>
        <v>46248</v>
      </c>
      <c r="C9" s="41">
        <v>0.0</v>
      </c>
      <c r="D9" s="43">
        <v>0.0</v>
      </c>
      <c r="E9" s="41">
        <v>0.0</v>
      </c>
      <c r="F9" s="41">
        <v>0.0</v>
      </c>
      <c r="G9" s="41">
        <f>C4</f>
        <v>3154.88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48">
        <v>46250.0</v>
      </c>
      <c r="C10" s="51">
        <v>300.0</v>
      </c>
      <c r="D10" s="43">
        <f>B10-B9</f>
        <v>2</v>
      </c>
      <c r="E10" s="41">
        <f>G9*($C$3/365)*D10</f>
        <v>0.8626219836</v>
      </c>
      <c r="F10" s="41">
        <f>C10-E10</f>
        <v>299.137378</v>
      </c>
      <c r="G10" s="41">
        <f>G9-F10</f>
        <v>2855.742622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48">
        <v>46264.0</v>
      </c>
      <c r="C11" s="51">
        <v>1000.0</v>
      </c>
      <c r="D11" s="43">
        <f t="shared" ref="D11:D30" si="1">IF(ISBLANK(B11), "", B11 - B10)</f>
        <v>14</v>
      </c>
      <c r="E11" s="41">
        <f t="shared" ref="E11:E30" si="2">IF(ISBLANK(B11), "", G10 * $C$3 / 365 * D11)</f>
        <v>5.465813139</v>
      </c>
      <c r="F11" s="41">
        <f t="shared" ref="F11:F30" si="3">IF(ISBLANK(B11), "", C11 - E11)</f>
        <v>994.5341869</v>
      </c>
      <c r="G11" s="41">
        <f t="shared" ref="G11:G30" si="4">IF(ISBLANK(B11), "", G10 - F11)</f>
        <v>1861.208435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39"/>
      <c r="C12" s="41"/>
      <c r="D12" s="43" t="str">
        <f t="shared" si="1"/>
        <v/>
      </c>
      <c r="E12" s="41" t="str">
        <f t="shared" si="2"/>
        <v/>
      </c>
      <c r="F12" s="41" t="str">
        <f t="shared" si="3"/>
        <v/>
      </c>
      <c r="G12" s="41" t="str">
        <f t="shared" si="4"/>
        <v/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39"/>
      <c r="C13" s="41"/>
      <c r="D13" s="43" t="str">
        <f t="shared" si="1"/>
        <v/>
      </c>
      <c r="E13" s="41" t="str">
        <f t="shared" si="2"/>
        <v/>
      </c>
      <c r="F13" s="41" t="str">
        <f t="shared" si="3"/>
        <v/>
      </c>
      <c r="G13" s="41" t="str">
        <f t="shared" si="4"/>
        <v/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39"/>
      <c r="C14" s="41"/>
      <c r="D14" s="43" t="str">
        <f t="shared" si="1"/>
        <v/>
      </c>
      <c r="E14" s="41" t="str">
        <f t="shared" si="2"/>
        <v/>
      </c>
      <c r="F14" s="41" t="str">
        <f t="shared" si="3"/>
        <v/>
      </c>
      <c r="G14" s="41" t="str">
        <f t="shared" si="4"/>
        <v/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39"/>
      <c r="C15" s="41"/>
      <c r="D15" s="43" t="str">
        <f t="shared" si="1"/>
        <v/>
      </c>
      <c r="E15" s="41" t="str">
        <f t="shared" si="2"/>
        <v/>
      </c>
      <c r="F15" s="41" t="str">
        <f t="shared" si="3"/>
        <v/>
      </c>
      <c r="G15" s="41" t="str">
        <f t="shared" si="4"/>
        <v/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39"/>
      <c r="C16" s="41"/>
      <c r="D16" s="43" t="str">
        <f t="shared" si="1"/>
        <v/>
      </c>
      <c r="E16" s="41" t="str">
        <f t="shared" si="2"/>
        <v/>
      </c>
      <c r="F16" s="41" t="str">
        <f t="shared" si="3"/>
        <v/>
      </c>
      <c r="G16" s="41" t="str">
        <f t="shared" si="4"/>
        <v/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39"/>
      <c r="C17" s="41"/>
      <c r="D17" s="43" t="str">
        <f t="shared" si="1"/>
        <v/>
      </c>
      <c r="E17" s="41" t="str">
        <f t="shared" si="2"/>
        <v/>
      </c>
      <c r="F17" s="41" t="str">
        <f t="shared" si="3"/>
        <v/>
      </c>
      <c r="G17" s="41" t="str">
        <f t="shared" si="4"/>
        <v/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39"/>
      <c r="C18" s="41"/>
      <c r="D18" s="43" t="str">
        <f t="shared" si="1"/>
        <v/>
      </c>
      <c r="E18" s="41" t="str">
        <f t="shared" si="2"/>
        <v/>
      </c>
      <c r="F18" s="41" t="str">
        <f t="shared" si="3"/>
        <v/>
      </c>
      <c r="G18" s="41" t="str">
        <f t="shared" si="4"/>
        <v/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39"/>
      <c r="C19" s="41"/>
      <c r="D19" s="43" t="str">
        <f t="shared" si="1"/>
        <v/>
      </c>
      <c r="E19" s="41" t="str">
        <f t="shared" si="2"/>
        <v/>
      </c>
      <c r="F19" s="41" t="str">
        <f t="shared" si="3"/>
        <v/>
      </c>
      <c r="G19" s="41" t="str">
        <f t="shared" si="4"/>
        <v/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39"/>
      <c r="C20" s="41"/>
      <c r="D20" s="43" t="str">
        <f t="shared" si="1"/>
        <v/>
      </c>
      <c r="E20" s="41" t="str">
        <f t="shared" si="2"/>
        <v/>
      </c>
      <c r="F20" s="41" t="str">
        <f t="shared" si="3"/>
        <v/>
      </c>
      <c r="G20" s="41" t="str">
        <f t="shared" si="4"/>
        <v/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39"/>
      <c r="C21" s="41"/>
      <c r="D21" s="43" t="str">
        <f t="shared" si="1"/>
        <v/>
      </c>
      <c r="E21" s="41" t="str">
        <f t="shared" si="2"/>
        <v/>
      </c>
      <c r="F21" s="41" t="str">
        <f t="shared" si="3"/>
        <v/>
      </c>
      <c r="G21" s="41" t="str">
        <f t="shared" si="4"/>
        <v/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39"/>
      <c r="C22" s="41"/>
      <c r="D22" s="43" t="str">
        <f t="shared" si="1"/>
        <v/>
      </c>
      <c r="E22" s="41" t="str">
        <f t="shared" si="2"/>
        <v/>
      </c>
      <c r="F22" s="41" t="str">
        <f t="shared" si="3"/>
        <v/>
      </c>
      <c r="G22" s="41" t="str">
        <f t="shared" si="4"/>
        <v/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39"/>
      <c r="C23" s="41"/>
      <c r="D23" s="43" t="str">
        <f t="shared" si="1"/>
        <v/>
      </c>
      <c r="E23" s="41" t="str">
        <f t="shared" si="2"/>
        <v/>
      </c>
      <c r="F23" s="41" t="str">
        <f t="shared" si="3"/>
        <v/>
      </c>
      <c r="G23" s="41" t="str">
        <f t="shared" si="4"/>
        <v/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39"/>
      <c r="C24" s="41"/>
      <c r="D24" s="43" t="str">
        <f t="shared" si="1"/>
        <v/>
      </c>
      <c r="E24" s="41" t="str">
        <f t="shared" si="2"/>
        <v/>
      </c>
      <c r="F24" s="41" t="str">
        <f t="shared" si="3"/>
        <v/>
      </c>
      <c r="G24" s="41" t="str">
        <f t="shared" si="4"/>
        <v/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39"/>
      <c r="C25" s="41"/>
      <c r="D25" s="43" t="str">
        <f t="shared" si="1"/>
        <v/>
      </c>
      <c r="E25" s="41" t="str">
        <f t="shared" si="2"/>
        <v/>
      </c>
      <c r="F25" s="41" t="str">
        <f t="shared" si="3"/>
        <v/>
      </c>
      <c r="G25" s="41" t="str">
        <f t="shared" si="4"/>
        <v/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39"/>
      <c r="C26" s="41"/>
      <c r="D26" s="43" t="str">
        <f t="shared" si="1"/>
        <v/>
      </c>
      <c r="E26" s="41" t="str">
        <f t="shared" si="2"/>
        <v/>
      </c>
      <c r="F26" s="41" t="str">
        <f t="shared" si="3"/>
        <v/>
      </c>
      <c r="G26" s="41" t="str">
        <f t="shared" si="4"/>
        <v/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39"/>
      <c r="C27" s="41"/>
      <c r="D27" s="43" t="str">
        <f t="shared" si="1"/>
        <v/>
      </c>
      <c r="E27" s="41" t="str">
        <f t="shared" si="2"/>
        <v/>
      </c>
      <c r="F27" s="41" t="str">
        <f t="shared" si="3"/>
        <v/>
      </c>
      <c r="G27" s="41" t="str">
        <f t="shared" si="4"/>
        <v/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39"/>
      <c r="C28" s="41"/>
      <c r="D28" s="43" t="str">
        <f t="shared" si="1"/>
        <v/>
      </c>
      <c r="E28" s="41" t="str">
        <f t="shared" si="2"/>
        <v/>
      </c>
      <c r="F28" s="41" t="str">
        <f t="shared" si="3"/>
        <v/>
      </c>
      <c r="G28" s="41" t="str">
        <f t="shared" si="4"/>
        <v/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39"/>
      <c r="C29" s="41"/>
      <c r="D29" s="43" t="str">
        <f t="shared" si="1"/>
        <v/>
      </c>
      <c r="E29" s="41" t="str">
        <f t="shared" si="2"/>
        <v/>
      </c>
      <c r="F29" s="41" t="str">
        <f t="shared" si="3"/>
        <v/>
      </c>
      <c r="G29" s="41" t="str">
        <f t="shared" si="4"/>
        <v/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39"/>
      <c r="C30" s="41"/>
      <c r="D30" s="43" t="str">
        <f t="shared" si="1"/>
        <v/>
      </c>
      <c r="E30" s="41" t="str">
        <f t="shared" si="2"/>
        <v/>
      </c>
      <c r="F30" s="41" t="str">
        <f t="shared" si="3"/>
        <v/>
      </c>
      <c r="G30" s="41" t="str">
        <f t="shared" si="4"/>
        <v/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75"/>
    <col customWidth="1" min="2" max="2" width="20.75"/>
    <col customWidth="1" min="3" max="3" width="30.13"/>
    <col customWidth="1" min="4" max="4" width="12.63"/>
    <col customWidth="1" min="5" max="5" width="14.5"/>
    <col customWidth="1" min="6" max="6" width="15.13"/>
    <col customWidth="1" min="7" max="7" width="15.75"/>
    <col customWidth="1" min="8" max="8" width="40.13"/>
  </cols>
  <sheetData>
    <row r="1">
      <c r="B1" s="10" t="s">
        <v>26</v>
      </c>
      <c r="C1" s="12"/>
      <c r="D1" s="12"/>
      <c r="E1" s="12"/>
      <c r="F1" s="12"/>
      <c r="G1" s="12"/>
      <c r="H1" s="12"/>
    </row>
    <row r="2">
      <c r="B2" s="15" t="s">
        <v>46</v>
      </c>
      <c r="C2" s="16"/>
      <c r="D2" s="16"/>
      <c r="E2" s="16"/>
      <c r="F2" s="16"/>
      <c r="G2" s="16"/>
      <c r="H2" s="16"/>
    </row>
    <row r="3">
      <c r="B3" s="21" t="s">
        <v>64</v>
      </c>
      <c r="C3" s="23"/>
      <c r="D3" s="21" t="s">
        <v>83</v>
      </c>
      <c r="E3" s="23"/>
      <c r="F3" s="21" t="s">
        <v>89</v>
      </c>
      <c r="G3" s="23"/>
      <c r="H3" s="21" t="s">
        <v>94</v>
      </c>
      <c r="I3" s="23"/>
      <c r="J3" s="21" t="s">
        <v>101</v>
      </c>
      <c r="K3" s="23"/>
    </row>
    <row r="4">
      <c r="B4" s="32">
        <f>SUM(F8:F44)</f>
        <v>11584</v>
      </c>
      <c r="C4" s="33"/>
      <c r="D4" s="34">
        <f>COUNTA(C8:C44)</f>
        <v>37</v>
      </c>
      <c r="E4" s="33"/>
      <c r="F4" s="32">
        <f>SUMIF(G8:G44, "Purchased", F8:F44)</f>
        <v>0</v>
      </c>
      <c r="G4" s="33"/>
      <c r="H4" s="32">
        <f>B4-F4</f>
        <v>11584</v>
      </c>
      <c r="I4" s="33"/>
      <c r="J4" s="46">
        <f>IFERROR(COUNTIF(G8:G44, "Purchased")/COUNTA(C8:C44), 0)</f>
        <v>0</v>
      </c>
      <c r="K4" s="33"/>
    </row>
    <row r="5">
      <c r="B5" s="49" t="s">
        <v>227</v>
      </c>
      <c r="C5" s="52"/>
      <c r="D5" s="49" t="s">
        <v>240</v>
      </c>
      <c r="E5" s="52"/>
      <c r="F5" s="49" t="s">
        <v>246</v>
      </c>
      <c r="G5" s="52"/>
      <c r="H5" s="49" t="s">
        <v>253</v>
      </c>
      <c r="I5" s="52"/>
      <c r="J5" s="62" t="str">
        <f>COUNTIF(G8:G44, "Purchased") &amp; " of " &amp; COUNTA(C8:C44) &amp; " bought"</f>
        <v>0 of 37 bought</v>
      </c>
      <c r="K5" s="52"/>
    </row>
    <row r="7" ht="24.0" customHeight="1">
      <c r="B7" s="65" t="s">
        <v>292</v>
      </c>
      <c r="C7" s="65" t="s">
        <v>296</v>
      </c>
      <c r="D7" s="66" t="s">
        <v>300</v>
      </c>
      <c r="E7" s="66" t="s">
        <v>304</v>
      </c>
      <c r="F7" s="69" t="s">
        <v>307</v>
      </c>
      <c r="G7" s="66" t="s">
        <v>312</v>
      </c>
      <c r="H7" s="65" t="s">
        <v>314</v>
      </c>
    </row>
    <row r="8" ht="19.5" customHeight="1">
      <c r="B8" s="70" t="s">
        <v>319</v>
      </c>
      <c r="C8" s="70" t="s">
        <v>324</v>
      </c>
      <c r="D8" s="72" t="s">
        <v>343</v>
      </c>
      <c r="E8" s="72" t="s">
        <v>347</v>
      </c>
      <c r="F8" s="73">
        <v>450.0</v>
      </c>
      <c r="G8" s="72" t="s">
        <v>363</v>
      </c>
      <c r="H8" s="70" t="s">
        <v>366</v>
      </c>
    </row>
    <row r="9" ht="19.5" customHeight="1">
      <c r="B9" s="70" t="s">
        <v>319</v>
      </c>
      <c r="C9" s="70" t="s">
        <v>369</v>
      </c>
      <c r="D9" s="72" t="s">
        <v>370</v>
      </c>
      <c r="E9" s="72" t="s">
        <v>371</v>
      </c>
      <c r="F9" s="73">
        <v>189.0</v>
      </c>
      <c r="G9" s="72" t="s">
        <v>363</v>
      </c>
      <c r="H9" s="70" t="s">
        <v>372</v>
      </c>
    </row>
    <row r="10" ht="19.5" customHeight="1">
      <c r="B10" s="70" t="s">
        <v>319</v>
      </c>
      <c r="C10" s="70" t="s">
        <v>373</v>
      </c>
      <c r="D10" s="72" t="s">
        <v>370</v>
      </c>
      <c r="E10" s="72" t="s">
        <v>376</v>
      </c>
      <c r="F10" s="73">
        <v>800.0</v>
      </c>
      <c r="G10" s="72" t="s">
        <v>363</v>
      </c>
      <c r="H10" s="70" t="s">
        <v>379</v>
      </c>
    </row>
    <row r="11" ht="19.5" customHeight="1">
      <c r="B11" s="70" t="s">
        <v>319</v>
      </c>
      <c r="C11" s="70" t="s">
        <v>385</v>
      </c>
      <c r="D11" s="72" t="s">
        <v>387</v>
      </c>
      <c r="E11" s="72" t="s">
        <v>347</v>
      </c>
      <c r="F11" s="73">
        <v>150.0</v>
      </c>
      <c r="G11" s="72" t="s">
        <v>363</v>
      </c>
      <c r="H11" s="70" t="s">
        <v>390</v>
      </c>
    </row>
    <row r="12" ht="19.5" customHeight="1">
      <c r="B12" s="70" t="s">
        <v>392</v>
      </c>
      <c r="C12" s="70" t="s">
        <v>394</v>
      </c>
      <c r="D12" s="72" t="s">
        <v>343</v>
      </c>
      <c r="E12" s="72" t="s">
        <v>347</v>
      </c>
      <c r="F12" s="73">
        <v>239.0</v>
      </c>
      <c r="G12" s="72" t="s">
        <v>363</v>
      </c>
      <c r="H12" s="70" t="s">
        <v>398</v>
      </c>
    </row>
    <row r="13" ht="19.5" customHeight="1">
      <c r="B13" s="70" t="s">
        <v>392</v>
      </c>
      <c r="C13" s="70" t="s">
        <v>401</v>
      </c>
      <c r="D13" s="72" t="s">
        <v>343</v>
      </c>
      <c r="E13" s="72" t="s">
        <v>371</v>
      </c>
      <c r="F13" s="73">
        <v>349.0</v>
      </c>
      <c r="G13" s="72" t="s">
        <v>363</v>
      </c>
      <c r="H13" s="70" t="s">
        <v>405</v>
      </c>
    </row>
    <row r="14" ht="19.5" customHeight="1">
      <c r="B14" s="70" t="s">
        <v>392</v>
      </c>
      <c r="C14" s="70" t="s">
        <v>406</v>
      </c>
      <c r="D14" s="72" t="s">
        <v>370</v>
      </c>
      <c r="E14" s="72" t="s">
        <v>347</v>
      </c>
      <c r="F14" s="73">
        <v>95.0</v>
      </c>
      <c r="G14" s="72" t="s">
        <v>363</v>
      </c>
      <c r="H14" s="70" t="s">
        <v>407</v>
      </c>
    </row>
    <row r="15" ht="19.5" customHeight="1">
      <c r="B15" s="70" t="s">
        <v>392</v>
      </c>
      <c r="C15" s="70" t="s">
        <v>409</v>
      </c>
      <c r="D15" s="72" t="s">
        <v>343</v>
      </c>
      <c r="E15" s="72" t="s">
        <v>371</v>
      </c>
      <c r="F15" s="73">
        <v>499.0</v>
      </c>
      <c r="G15" s="72" t="s">
        <v>363</v>
      </c>
      <c r="H15" s="70" t="s">
        <v>410</v>
      </c>
    </row>
    <row r="16" ht="19.5" customHeight="1">
      <c r="B16" s="70" t="s">
        <v>392</v>
      </c>
      <c r="C16" s="70" t="s">
        <v>411</v>
      </c>
      <c r="D16" s="72" t="s">
        <v>370</v>
      </c>
      <c r="E16" s="72" t="s">
        <v>376</v>
      </c>
      <c r="F16" s="73">
        <v>180.0</v>
      </c>
      <c r="G16" s="72" t="s">
        <v>363</v>
      </c>
      <c r="H16" s="70" t="s">
        <v>413</v>
      </c>
    </row>
    <row r="17" ht="19.5" customHeight="1">
      <c r="B17" s="70" t="s">
        <v>392</v>
      </c>
      <c r="C17" s="70" t="s">
        <v>416</v>
      </c>
      <c r="D17" s="72" t="s">
        <v>343</v>
      </c>
      <c r="E17" s="72" t="s">
        <v>371</v>
      </c>
      <c r="F17" s="73">
        <v>549.0</v>
      </c>
      <c r="G17" s="72" t="s">
        <v>363</v>
      </c>
      <c r="H17" s="70" t="s">
        <v>418</v>
      </c>
    </row>
    <row r="18" ht="19.5" customHeight="1">
      <c r="B18" s="70" t="s">
        <v>392</v>
      </c>
      <c r="C18" s="70" t="s">
        <v>419</v>
      </c>
      <c r="D18" s="72" t="s">
        <v>370</v>
      </c>
      <c r="E18" s="72" t="s">
        <v>376</v>
      </c>
      <c r="F18" s="73">
        <v>179.0</v>
      </c>
      <c r="G18" s="72" t="s">
        <v>363</v>
      </c>
      <c r="H18" s="70" t="s">
        <v>421</v>
      </c>
    </row>
    <row r="19" ht="19.5" customHeight="1">
      <c r="B19" s="70" t="s">
        <v>422</v>
      </c>
      <c r="C19" s="70" t="s">
        <v>423</v>
      </c>
      <c r="D19" s="72" t="s">
        <v>370</v>
      </c>
      <c r="E19" s="72" t="s">
        <v>425</v>
      </c>
      <c r="F19" s="73">
        <v>220.0</v>
      </c>
      <c r="G19" s="72" t="s">
        <v>363</v>
      </c>
      <c r="H19" s="70" t="s">
        <v>430</v>
      </c>
    </row>
    <row r="20" ht="19.5" customHeight="1">
      <c r="B20" s="70" t="s">
        <v>422</v>
      </c>
      <c r="C20" s="70" t="s">
        <v>431</v>
      </c>
      <c r="D20" s="72" t="s">
        <v>370</v>
      </c>
      <c r="E20" s="72" t="s">
        <v>425</v>
      </c>
      <c r="F20" s="73">
        <v>140.0</v>
      </c>
      <c r="G20" s="72" t="s">
        <v>363</v>
      </c>
      <c r="H20" s="70" t="s">
        <v>433</v>
      </c>
    </row>
    <row r="21" ht="19.5" customHeight="1">
      <c r="B21" s="70" t="s">
        <v>422</v>
      </c>
      <c r="C21" s="70" t="s">
        <v>434</v>
      </c>
      <c r="D21" s="72" t="s">
        <v>387</v>
      </c>
      <c r="E21" s="72" t="s">
        <v>371</v>
      </c>
      <c r="F21" s="73">
        <v>60.0</v>
      </c>
      <c r="G21" s="72" t="s">
        <v>363</v>
      </c>
      <c r="H21" s="70" t="s">
        <v>435</v>
      </c>
    </row>
    <row r="22" ht="19.5" customHeight="1">
      <c r="B22" s="70" t="s">
        <v>422</v>
      </c>
      <c r="C22" s="70" t="s">
        <v>436</v>
      </c>
      <c r="D22" s="72" t="s">
        <v>343</v>
      </c>
      <c r="E22" s="72" t="s">
        <v>347</v>
      </c>
      <c r="F22" s="73">
        <v>100.0</v>
      </c>
      <c r="G22" s="72" t="s">
        <v>363</v>
      </c>
      <c r="H22" s="70" t="s">
        <v>443</v>
      </c>
    </row>
    <row r="23" ht="19.5" customHeight="1">
      <c r="B23" s="70" t="s">
        <v>422</v>
      </c>
      <c r="C23" s="70" t="s">
        <v>444</v>
      </c>
      <c r="D23" s="72" t="s">
        <v>387</v>
      </c>
      <c r="E23" s="72" t="s">
        <v>376</v>
      </c>
      <c r="F23" s="73">
        <v>450.0</v>
      </c>
      <c r="G23" s="72" t="s">
        <v>363</v>
      </c>
      <c r="H23" s="70" t="s">
        <v>445</v>
      </c>
    </row>
    <row r="24" ht="19.5" customHeight="1">
      <c r="B24" s="70" t="s">
        <v>422</v>
      </c>
      <c r="C24" s="70" t="s">
        <v>446</v>
      </c>
      <c r="D24" s="72" t="s">
        <v>343</v>
      </c>
      <c r="E24" s="72" t="s">
        <v>371</v>
      </c>
      <c r="F24" s="73">
        <v>70.0</v>
      </c>
      <c r="G24" s="72" t="s">
        <v>363</v>
      </c>
      <c r="H24" s="70" t="s">
        <v>450</v>
      </c>
    </row>
    <row r="25" ht="19.5" customHeight="1">
      <c r="B25" s="70" t="s">
        <v>422</v>
      </c>
      <c r="C25" s="70" t="s">
        <v>456</v>
      </c>
      <c r="D25" s="72" t="s">
        <v>343</v>
      </c>
      <c r="E25" s="72" t="s">
        <v>371</v>
      </c>
      <c r="F25" s="73">
        <v>40.0</v>
      </c>
      <c r="G25" s="72" t="s">
        <v>363</v>
      </c>
      <c r="H25" s="70" t="s">
        <v>457</v>
      </c>
    </row>
    <row r="26" ht="19.5" customHeight="1">
      <c r="B26" s="70" t="s">
        <v>422</v>
      </c>
      <c r="C26" s="70" t="s">
        <v>458</v>
      </c>
      <c r="D26" s="72" t="s">
        <v>343</v>
      </c>
      <c r="E26" s="72" t="s">
        <v>371</v>
      </c>
      <c r="F26" s="73">
        <v>50.0</v>
      </c>
      <c r="G26" s="72" t="s">
        <v>363</v>
      </c>
      <c r="H26" s="70" t="s">
        <v>459</v>
      </c>
    </row>
    <row r="27" ht="19.5" customHeight="1">
      <c r="B27" s="70" t="s">
        <v>422</v>
      </c>
      <c r="C27" s="70" t="s">
        <v>460</v>
      </c>
      <c r="D27" s="72" t="s">
        <v>343</v>
      </c>
      <c r="E27" s="72" t="s">
        <v>371</v>
      </c>
      <c r="F27" s="73">
        <v>20.0</v>
      </c>
      <c r="G27" s="72" t="s">
        <v>363</v>
      </c>
      <c r="H27" s="70" t="s">
        <v>461</v>
      </c>
    </row>
    <row r="28" ht="19.5" customHeight="1">
      <c r="B28" s="70" t="s">
        <v>422</v>
      </c>
      <c r="C28" s="70" t="s">
        <v>462</v>
      </c>
      <c r="D28" s="72" t="s">
        <v>387</v>
      </c>
      <c r="E28" s="72" t="s">
        <v>347</v>
      </c>
      <c r="F28" s="73">
        <v>90.0</v>
      </c>
      <c r="G28" s="72" t="s">
        <v>363</v>
      </c>
      <c r="H28" s="70" t="s">
        <v>463</v>
      </c>
    </row>
    <row r="29" ht="19.5" customHeight="1">
      <c r="B29" s="70" t="s">
        <v>464</v>
      </c>
      <c r="C29" s="70" t="s">
        <v>465</v>
      </c>
      <c r="D29" s="72" t="s">
        <v>343</v>
      </c>
      <c r="E29" s="72" t="s">
        <v>425</v>
      </c>
      <c r="F29" s="73">
        <v>65.0</v>
      </c>
      <c r="G29" s="72" t="s">
        <v>363</v>
      </c>
      <c r="H29" s="70" t="s">
        <v>466</v>
      </c>
    </row>
    <row r="30" ht="19.5" customHeight="1">
      <c r="B30" s="70" t="s">
        <v>464</v>
      </c>
      <c r="C30" s="70" t="s">
        <v>467</v>
      </c>
      <c r="D30" s="72" t="s">
        <v>370</v>
      </c>
      <c r="E30" s="72" t="s">
        <v>347</v>
      </c>
      <c r="F30" s="73">
        <v>180.0</v>
      </c>
      <c r="G30" s="72" t="s">
        <v>363</v>
      </c>
      <c r="H30" s="70" t="s">
        <v>468</v>
      </c>
    </row>
    <row r="31" ht="19.5" customHeight="1">
      <c r="B31" s="70" t="s">
        <v>464</v>
      </c>
      <c r="C31" s="70" t="s">
        <v>469</v>
      </c>
      <c r="D31" s="72" t="s">
        <v>343</v>
      </c>
      <c r="E31" s="72" t="s">
        <v>425</v>
      </c>
      <c r="F31" s="73">
        <v>450.0</v>
      </c>
      <c r="G31" s="72" t="s">
        <v>363</v>
      </c>
      <c r="H31" s="70" t="s">
        <v>470</v>
      </c>
    </row>
    <row r="32" ht="19.5" customHeight="1">
      <c r="B32" s="70" t="s">
        <v>464</v>
      </c>
      <c r="C32" s="70" t="s">
        <v>471</v>
      </c>
      <c r="D32" s="72" t="s">
        <v>343</v>
      </c>
      <c r="E32" s="72" t="s">
        <v>425</v>
      </c>
      <c r="F32" s="73">
        <v>400.0</v>
      </c>
      <c r="G32" s="72" t="s">
        <v>363</v>
      </c>
      <c r="H32" s="70" t="s">
        <v>472</v>
      </c>
    </row>
    <row r="33" ht="19.5" customHeight="1">
      <c r="B33" s="70" t="s">
        <v>473</v>
      </c>
      <c r="C33" s="70" t="s">
        <v>474</v>
      </c>
      <c r="D33" s="72" t="s">
        <v>370</v>
      </c>
      <c r="E33" s="72" t="s">
        <v>347</v>
      </c>
      <c r="F33" s="73">
        <v>120.0</v>
      </c>
      <c r="G33" s="72" t="s">
        <v>363</v>
      </c>
      <c r="H33" s="70" t="s">
        <v>475</v>
      </c>
    </row>
    <row r="34" ht="19.5" customHeight="1">
      <c r="B34" s="70" t="s">
        <v>473</v>
      </c>
      <c r="C34" s="70" t="s">
        <v>476</v>
      </c>
      <c r="D34" s="72" t="s">
        <v>387</v>
      </c>
      <c r="E34" s="72" t="s">
        <v>347</v>
      </c>
      <c r="F34" s="73">
        <v>40.0</v>
      </c>
      <c r="G34" s="72" t="s">
        <v>363</v>
      </c>
      <c r="H34" s="70" t="s">
        <v>477</v>
      </c>
    </row>
    <row r="35" ht="19.5" customHeight="1">
      <c r="B35" s="70" t="s">
        <v>473</v>
      </c>
      <c r="C35" s="70" t="s">
        <v>478</v>
      </c>
      <c r="D35" s="72" t="s">
        <v>387</v>
      </c>
      <c r="E35" s="72" t="s">
        <v>347</v>
      </c>
      <c r="F35" s="73">
        <v>45.0</v>
      </c>
      <c r="G35" s="72" t="s">
        <v>363</v>
      </c>
      <c r="H35" s="70" t="s">
        <v>479</v>
      </c>
    </row>
    <row r="36" ht="19.5" customHeight="1">
      <c r="B36" s="70" t="s">
        <v>473</v>
      </c>
      <c r="C36" s="70" t="s">
        <v>480</v>
      </c>
      <c r="D36" s="72" t="s">
        <v>387</v>
      </c>
      <c r="E36" s="72" t="s">
        <v>347</v>
      </c>
      <c r="F36" s="73">
        <v>25.0</v>
      </c>
      <c r="G36" s="72" t="s">
        <v>363</v>
      </c>
      <c r="H36" s="70" t="s">
        <v>481</v>
      </c>
    </row>
    <row r="37" ht="19.5" customHeight="1">
      <c r="B37" s="70" t="s">
        <v>473</v>
      </c>
      <c r="C37" s="70" t="s">
        <v>482</v>
      </c>
      <c r="D37" s="72" t="s">
        <v>370</v>
      </c>
      <c r="E37" s="72" t="s">
        <v>425</v>
      </c>
      <c r="F37" s="73">
        <v>45.0</v>
      </c>
      <c r="G37" s="72" t="s">
        <v>363</v>
      </c>
      <c r="H37" s="70" t="s">
        <v>483</v>
      </c>
    </row>
    <row r="38" ht="19.5" customHeight="1">
      <c r="B38" s="70" t="s">
        <v>484</v>
      </c>
      <c r="C38" s="70" t="s">
        <v>485</v>
      </c>
      <c r="D38" s="72" t="s">
        <v>343</v>
      </c>
      <c r="E38" s="72" t="s">
        <v>425</v>
      </c>
      <c r="F38" s="73">
        <v>50.0</v>
      </c>
      <c r="G38" s="72" t="s">
        <v>363</v>
      </c>
      <c r="H38" s="70" t="s">
        <v>486</v>
      </c>
    </row>
    <row r="39" ht="19.5" customHeight="1">
      <c r="B39" s="70" t="s">
        <v>484</v>
      </c>
      <c r="C39" s="70" t="s">
        <v>487</v>
      </c>
      <c r="D39" s="72" t="s">
        <v>370</v>
      </c>
      <c r="E39" s="72" t="s">
        <v>425</v>
      </c>
      <c r="F39" s="73">
        <v>35.0</v>
      </c>
      <c r="G39" s="72" t="s">
        <v>363</v>
      </c>
      <c r="H39" s="70" t="s">
        <v>488</v>
      </c>
    </row>
    <row r="40" ht="19.5" customHeight="1">
      <c r="B40" s="70" t="s">
        <v>484</v>
      </c>
      <c r="C40" s="70" t="s">
        <v>489</v>
      </c>
      <c r="D40" s="72" t="s">
        <v>387</v>
      </c>
      <c r="E40" s="72" t="s">
        <v>371</v>
      </c>
      <c r="F40" s="73">
        <v>120.0</v>
      </c>
      <c r="G40" s="72" t="s">
        <v>363</v>
      </c>
      <c r="H40" s="70" t="s">
        <v>490</v>
      </c>
    </row>
    <row r="41" ht="19.5" customHeight="1">
      <c r="B41" s="70" t="s">
        <v>484</v>
      </c>
      <c r="C41" s="70" t="s">
        <v>491</v>
      </c>
      <c r="D41" s="72" t="s">
        <v>370</v>
      </c>
      <c r="E41" s="72" t="s">
        <v>376</v>
      </c>
      <c r="F41" s="73">
        <v>4400.0</v>
      </c>
      <c r="G41" s="72" t="s">
        <v>363</v>
      </c>
      <c r="H41" s="70" t="s">
        <v>492</v>
      </c>
    </row>
    <row r="42" ht="19.5" customHeight="1">
      <c r="B42" s="70" t="s">
        <v>484</v>
      </c>
      <c r="C42" s="70" t="s">
        <v>495</v>
      </c>
      <c r="D42" s="72" t="s">
        <v>370</v>
      </c>
      <c r="E42" s="72" t="s">
        <v>376</v>
      </c>
      <c r="F42" s="73">
        <v>400.0</v>
      </c>
      <c r="G42" s="72" t="s">
        <v>363</v>
      </c>
      <c r="H42" s="70" t="s">
        <v>499</v>
      </c>
    </row>
    <row r="43" ht="19.5" customHeight="1">
      <c r="B43" s="70" t="s">
        <v>484</v>
      </c>
      <c r="C43" s="70" t="s">
        <v>500</v>
      </c>
      <c r="D43" s="72" t="s">
        <v>370</v>
      </c>
      <c r="E43" s="72" t="s">
        <v>371</v>
      </c>
      <c r="F43" s="73">
        <v>140.0</v>
      </c>
      <c r="G43" s="72" t="s">
        <v>363</v>
      </c>
      <c r="H43" s="70" t="s">
        <v>501</v>
      </c>
    </row>
    <row r="44" ht="19.5" customHeight="1">
      <c r="B44" s="70" t="s">
        <v>484</v>
      </c>
      <c r="C44" s="70" t="s">
        <v>502</v>
      </c>
      <c r="D44" s="72" t="s">
        <v>370</v>
      </c>
      <c r="E44" s="72" t="s">
        <v>371</v>
      </c>
      <c r="F44" s="73">
        <v>150.0</v>
      </c>
      <c r="G44" s="72" t="s">
        <v>363</v>
      </c>
      <c r="H44" s="70" t="s">
        <v>503</v>
      </c>
    </row>
    <row r="45" ht="21.0" customHeight="1">
      <c r="B45" s="81" t="s">
        <v>504</v>
      </c>
      <c r="C45" s="82"/>
      <c r="D45" s="82"/>
      <c r="E45" s="82"/>
      <c r="F45" s="83">
        <f>SUM(F8:F44)</f>
        <v>11584</v>
      </c>
      <c r="G45" s="82"/>
      <c r="H45" s="82"/>
    </row>
  </sheetData>
  <mergeCells count="15">
    <mergeCell ref="F4:G4"/>
    <mergeCell ref="H4:I4"/>
    <mergeCell ref="B4:C4"/>
    <mergeCell ref="B5:C5"/>
    <mergeCell ref="D5:E5"/>
    <mergeCell ref="F5:G5"/>
    <mergeCell ref="H5:I5"/>
    <mergeCell ref="J5:K5"/>
    <mergeCell ref="B3:C3"/>
    <mergeCell ref="D3:E3"/>
    <mergeCell ref="F3:G3"/>
    <mergeCell ref="H3:I3"/>
    <mergeCell ref="J3:K3"/>
    <mergeCell ref="D4:E4"/>
    <mergeCell ref="J4:K4"/>
  </mergeCells>
  <dataValidations>
    <dataValidation type="list" allowBlank="1" sqref="G8:G44">
      <formula1>"Planned,In Progress,Purchased,Deferred"</formula1>
    </dataValidation>
    <dataValidation type="list" allowBlank="1" sqref="D8:D44">
      <formula1>"High,Medium,Low"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1.13"/>
    <col customWidth="1" min="3" max="3" width="9.0"/>
    <col customWidth="1" min="4" max="4" width="8.38"/>
    <col customWidth="1" min="5" max="5" width="8.13"/>
    <col customWidth="1" min="6" max="6" width="1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>
        <v>1300.0</v>
      </c>
      <c r="F2" s="5" t="s">
        <v>10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4">
        <v>100.06</v>
      </c>
      <c r="F3" s="5" t="s">
        <v>10</v>
      </c>
    </row>
    <row r="4">
      <c r="A4" s="3" t="s">
        <v>15</v>
      </c>
      <c r="B4" s="3" t="s">
        <v>16</v>
      </c>
      <c r="C4" s="3" t="s">
        <v>17</v>
      </c>
      <c r="D4" s="3" t="s">
        <v>14</v>
      </c>
      <c r="E4" s="4">
        <v>454.87</v>
      </c>
      <c r="F4" s="5" t="s">
        <v>10</v>
      </c>
    </row>
    <row r="5">
      <c r="A5" s="3" t="s">
        <v>18</v>
      </c>
      <c r="B5" s="3" t="s">
        <v>19</v>
      </c>
      <c r="C5" s="3" t="s">
        <v>20</v>
      </c>
      <c r="D5" s="3" t="s">
        <v>14</v>
      </c>
      <c r="E5" s="4">
        <v>118.52</v>
      </c>
      <c r="F5" s="5" t="s">
        <v>10</v>
      </c>
    </row>
    <row r="6">
      <c r="A6" s="3" t="s">
        <v>21</v>
      </c>
      <c r="B6" s="3" t="s">
        <v>22</v>
      </c>
      <c r="C6" s="3" t="s">
        <v>23</v>
      </c>
      <c r="D6" s="3" t="s">
        <v>14</v>
      </c>
      <c r="E6" s="4">
        <v>54.01</v>
      </c>
      <c r="F6" s="5" t="s">
        <v>10</v>
      </c>
    </row>
    <row r="7">
      <c r="A7" s="6" t="s">
        <v>24</v>
      </c>
      <c r="B7" s="6" t="s">
        <v>25</v>
      </c>
      <c r="C7" s="6" t="s">
        <v>13</v>
      </c>
      <c r="D7" s="6" t="s">
        <v>9</v>
      </c>
      <c r="E7" s="7">
        <v>2080.59</v>
      </c>
      <c r="F7" s="8">
        <v>46276.0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4.13"/>
    <col customWidth="1" min="3" max="3" width="8.88"/>
    <col customWidth="1" min="4" max="4" width="9.13"/>
    <col customWidth="1" min="5" max="5" width="7.88"/>
    <col customWidth="1" min="6" max="6" width="6.5"/>
    <col customWidth="1" min="7" max="7" width="7.38"/>
    <col customWidth="1" min="8" max="8" width="5.0"/>
  </cols>
  <sheetData>
    <row r="1">
      <c r="A1" s="1" t="s">
        <v>28</v>
      </c>
      <c r="B1" s="1" t="s">
        <v>29</v>
      </c>
      <c r="C1" s="1" t="s">
        <v>0</v>
      </c>
      <c r="D1" s="1" t="s">
        <v>30</v>
      </c>
      <c r="E1" s="1" t="s">
        <v>32</v>
      </c>
      <c r="F1" s="2" t="s">
        <v>33</v>
      </c>
      <c r="G1" s="1" t="s">
        <v>34</v>
      </c>
      <c r="H1" s="1" t="s">
        <v>35</v>
      </c>
    </row>
    <row r="2">
      <c r="A2" s="6" t="s">
        <v>36</v>
      </c>
      <c r="B2" s="8">
        <v>46276.0</v>
      </c>
      <c r="C2" s="6" t="s">
        <v>24</v>
      </c>
      <c r="D2" s="6" t="s">
        <v>37</v>
      </c>
      <c r="F2" s="7">
        <v>-110.34</v>
      </c>
      <c r="G2" s="6" t="s">
        <v>38</v>
      </c>
      <c r="H2" s="6" t="s">
        <v>39</v>
      </c>
    </row>
    <row r="3">
      <c r="A3" s="6" t="s">
        <v>41</v>
      </c>
      <c r="B3" s="8">
        <v>46276.0</v>
      </c>
      <c r="C3" s="6" t="s">
        <v>24</v>
      </c>
      <c r="D3" s="6" t="s">
        <v>42</v>
      </c>
      <c r="F3" s="7">
        <v>-4.27</v>
      </c>
      <c r="G3" s="6" t="s">
        <v>43</v>
      </c>
    </row>
    <row r="4">
      <c r="A4" s="6" t="s">
        <v>45</v>
      </c>
      <c r="B4" s="8">
        <v>46276.0</v>
      </c>
      <c r="C4" s="6" t="s">
        <v>24</v>
      </c>
      <c r="D4" s="6" t="s">
        <v>47</v>
      </c>
      <c r="F4" s="7">
        <v>-4.55</v>
      </c>
      <c r="G4" s="6" t="s">
        <v>43</v>
      </c>
    </row>
    <row r="5">
      <c r="A5" s="6" t="s">
        <v>48</v>
      </c>
      <c r="B5" s="8">
        <v>46276.0</v>
      </c>
      <c r="C5" s="6" t="s">
        <v>24</v>
      </c>
      <c r="D5" s="6" t="s">
        <v>49</v>
      </c>
      <c r="F5" s="7">
        <v>25.49</v>
      </c>
      <c r="G5" s="6" t="s">
        <v>38</v>
      </c>
      <c r="H5" s="6" t="s">
        <v>39</v>
      </c>
    </row>
    <row r="6">
      <c r="A6" s="6" t="s">
        <v>50</v>
      </c>
      <c r="B6" s="8">
        <v>46276.0</v>
      </c>
      <c r="C6" s="6" t="s">
        <v>24</v>
      </c>
      <c r="D6" s="6" t="s">
        <v>51</v>
      </c>
      <c r="F6" s="7">
        <v>51.09</v>
      </c>
      <c r="G6" s="6" t="s">
        <v>38</v>
      </c>
      <c r="H6" s="6" t="s">
        <v>39</v>
      </c>
    </row>
    <row r="7">
      <c r="A7" s="6" t="s">
        <v>52</v>
      </c>
      <c r="B7" s="8">
        <v>46276.0</v>
      </c>
      <c r="C7" s="6" t="s">
        <v>24</v>
      </c>
      <c r="D7" s="6" t="s">
        <v>53</v>
      </c>
      <c r="F7" s="7">
        <v>2105.84</v>
      </c>
      <c r="G7" s="6" t="s">
        <v>54</v>
      </c>
    </row>
    <row r="8">
      <c r="A8" s="6" t="s">
        <v>55</v>
      </c>
      <c r="B8" s="8">
        <v>46275.0</v>
      </c>
      <c r="C8" s="6" t="s">
        <v>24</v>
      </c>
      <c r="D8" s="6" t="s">
        <v>56</v>
      </c>
      <c r="F8" s="7">
        <v>-4.11</v>
      </c>
      <c r="G8" s="6" t="s">
        <v>57</v>
      </c>
    </row>
    <row r="9">
      <c r="A9" s="6" t="s">
        <v>58</v>
      </c>
      <c r="B9" s="8">
        <v>46275.0</v>
      </c>
      <c r="C9" s="6" t="s">
        <v>24</v>
      </c>
      <c r="D9" s="6" t="s">
        <v>60</v>
      </c>
      <c r="F9" s="7">
        <v>-3.5</v>
      </c>
      <c r="G9" s="6" t="s">
        <v>43</v>
      </c>
    </row>
    <row r="10">
      <c r="A10" s="6" t="s">
        <v>62</v>
      </c>
      <c r="B10" s="8">
        <v>46274.0</v>
      </c>
      <c r="C10" s="6" t="s">
        <v>24</v>
      </c>
      <c r="D10" s="6" t="s">
        <v>63</v>
      </c>
      <c r="F10" s="7">
        <v>-2.34</v>
      </c>
      <c r="G10" s="6" t="s">
        <v>43</v>
      </c>
    </row>
    <row r="11">
      <c r="A11" s="6" t="s">
        <v>65</v>
      </c>
      <c r="B11" s="8">
        <v>46274.0</v>
      </c>
      <c r="C11" s="6" t="s">
        <v>24</v>
      </c>
      <c r="D11" s="6" t="s">
        <v>66</v>
      </c>
      <c r="F11" s="7">
        <v>-5.13</v>
      </c>
      <c r="G11" s="6" t="s">
        <v>43</v>
      </c>
    </row>
    <row r="12">
      <c r="A12" s="6" t="s">
        <v>67</v>
      </c>
      <c r="B12" s="8">
        <v>46273.0</v>
      </c>
      <c r="C12" s="6" t="s">
        <v>24</v>
      </c>
      <c r="D12" s="6" t="s">
        <v>68</v>
      </c>
      <c r="F12" s="7">
        <v>-7.27</v>
      </c>
      <c r="G12" s="6" t="s">
        <v>43</v>
      </c>
    </row>
    <row r="13">
      <c r="A13" s="6" t="s">
        <v>70</v>
      </c>
      <c r="B13" s="8">
        <v>46273.0</v>
      </c>
      <c r="C13" s="6" t="s">
        <v>24</v>
      </c>
      <c r="D13" s="6" t="s">
        <v>71</v>
      </c>
      <c r="F13" s="7">
        <v>-3.11</v>
      </c>
      <c r="G13" s="6" t="s">
        <v>57</v>
      </c>
    </row>
    <row r="14">
      <c r="A14" s="6" t="s">
        <v>72</v>
      </c>
      <c r="B14" s="8">
        <v>46273.0</v>
      </c>
      <c r="C14" s="6" t="s">
        <v>24</v>
      </c>
      <c r="D14" s="6" t="s">
        <v>73</v>
      </c>
      <c r="F14" s="7">
        <v>-8.99</v>
      </c>
      <c r="G14" s="6" t="s">
        <v>74</v>
      </c>
    </row>
    <row r="15">
      <c r="A15" s="6" t="s">
        <v>75</v>
      </c>
      <c r="B15" s="8">
        <v>46273.0</v>
      </c>
      <c r="C15" s="6" t="s">
        <v>24</v>
      </c>
      <c r="D15" s="6" t="s">
        <v>76</v>
      </c>
      <c r="F15" s="7">
        <v>-7.27</v>
      </c>
      <c r="G15" s="6" t="s">
        <v>43</v>
      </c>
    </row>
    <row r="16">
      <c r="A16" s="6" t="s">
        <v>77</v>
      </c>
      <c r="B16" s="8">
        <v>46273.0</v>
      </c>
      <c r="C16" s="6" t="s">
        <v>24</v>
      </c>
      <c r="D16" s="6" t="s">
        <v>78</v>
      </c>
      <c r="F16" s="7">
        <v>-3.67</v>
      </c>
      <c r="G16" s="6" t="s">
        <v>43</v>
      </c>
    </row>
    <row r="17">
      <c r="A17" s="6" t="s">
        <v>80</v>
      </c>
      <c r="B17" s="8">
        <v>46273.0</v>
      </c>
      <c r="C17" s="6" t="s">
        <v>24</v>
      </c>
      <c r="D17" s="6" t="s">
        <v>81</v>
      </c>
      <c r="F17" s="7">
        <v>-5.34</v>
      </c>
      <c r="G17" s="6" t="s">
        <v>43</v>
      </c>
    </row>
    <row r="18">
      <c r="A18" s="6" t="s">
        <v>82</v>
      </c>
      <c r="B18" s="8">
        <v>46273.0</v>
      </c>
      <c r="C18" s="6" t="s">
        <v>24</v>
      </c>
      <c r="D18" s="6" t="s">
        <v>84</v>
      </c>
      <c r="F18" s="7">
        <v>-13.34</v>
      </c>
      <c r="G18" s="6" t="s">
        <v>43</v>
      </c>
    </row>
    <row r="19">
      <c r="A19" s="6" t="s">
        <v>85</v>
      </c>
      <c r="B19" s="8">
        <v>46273.0</v>
      </c>
      <c r="C19" s="6" t="s">
        <v>24</v>
      </c>
      <c r="D19" s="6" t="s">
        <v>86</v>
      </c>
      <c r="F19" s="7">
        <v>9.75</v>
      </c>
      <c r="G19" s="6" t="s">
        <v>87</v>
      </c>
    </row>
    <row r="20">
      <c r="A20" s="6" t="s">
        <v>88</v>
      </c>
      <c r="B20" s="8">
        <v>46273.0</v>
      </c>
      <c r="C20" s="6" t="s">
        <v>24</v>
      </c>
      <c r="D20" s="6" t="s">
        <v>90</v>
      </c>
      <c r="F20" s="7">
        <v>20.0</v>
      </c>
      <c r="G20" s="6" t="s">
        <v>87</v>
      </c>
    </row>
    <row r="21">
      <c r="A21" s="6" t="s">
        <v>91</v>
      </c>
      <c r="B21" s="8">
        <v>46269.0</v>
      </c>
      <c r="C21" s="6" t="s">
        <v>24</v>
      </c>
      <c r="D21" s="6" t="s">
        <v>93</v>
      </c>
      <c r="F21" s="7">
        <v>-23.0</v>
      </c>
      <c r="G21" s="6" t="s">
        <v>95</v>
      </c>
    </row>
    <row r="22">
      <c r="A22" s="6" t="s">
        <v>96</v>
      </c>
      <c r="B22" s="8">
        <v>46269.0</v>
      </c>
      <c r="C22" s="6" t="s">
        <v>24</v>
      </c>
      <c r="D22" s="6" t="s">
        <v>98</v>
      </c>
      <c r="F22" s="7">
        <v>-1.6</v>
      </c>
      <c r="G22" s="6" t="s">
        <v>43</v>
      </c>
    </row>
    <row r="23">
      <c r="A23" s="6" t="s">
        <v>99</v>
      </c>
      <c r="B23" s="8">
        <v>46268.0</v>
      </c>
      <c r="C23" s="6" t="s">
        <v>24</v>
      </c>
      <c r="D23" s="6" t="s">
        <v>100</v>
      </c>
      <c r="F23" s="7">
        <v>-3.5</v>
      </c>
      <c r="G23" s="6" t="s">
        <v>43</v>
      </c>
    </row>
    <row r="24">
      <c r="A24" s="6" t="s">
        <v>102</v>
      </c>
      <c r="B24" s="8">
        <v>46267.0</v>
      </c>
      <c r="C24" s="6" t="s">
        <v>24</v>
      </c>
      <c r="D24" s="6" t="s">
        <v>103</v>
      </c>
      <c r="F24" s="7">
        <v>-1875.95</v>
      </c>
      <c r="G24" s="6" t="s">
        <v>104</v>
      </c>
    </row>
    <row r="25">
      <c r="A25" s="6" t="s">
        <v>105</v>
      </c>
      <c r="B25" s="8">
        <v>46267.0</v>
      </c>
      <c r="C25" s="6" t="s">
        <v>24</v>
      </c>
      <c r="D25" s="6" t="s">
        <v>106</v>
      </c>
      <c r="F25" s="7">
        <v>-3.25</v>
      </c>
      <c r="G25" s="6" t="s">
        <v>43</v>
      </c>
    </row>
    <row r="26">
      <c r="A26" s="6" t="s">
        <v>108</v>
      </c>
      <c r="B26" s="8">
        <v>46267.0</v>
      </c>
      <c r="C26" s="6" t="s">
        <v>24</v>
      </c>
      <c r="D26" s="6" t="s">
        <v>109</v>
      </c>
      <c r="F26" s="7">
        <v>-5.66</v>
      </c>
      <c r="G26" s="6" t="s">
        <v>43</v>
      </c>
    </row>
    <row r="27">
      <c r="A27" s="6" t="s">
        <v>110</v>
      </c>
      <c r="B27" s="8">
        <v>46267.0</v>
      </c>
      <c r="C27" s="6" t="s">
        <v>24</v>
      </c>
      <c r="D27" s="6" t="s">
        <v>111</v>
      </c>
      <c r="F27" s="7">
        <v>-9.46</v>
      </c>
      <c r="G27" s="6" t="s">
        <v>43</v>
      </c>
    </row>
    <row r="28">
      <c r="A28" s="6" t="s">
        <v>112</v>
      </c>
      <c r="B28" s="8">
        <v>46266.0</v>
      </c>
      <c r="C28" s="6" t="s">
        <v>24</v>
      </c>
      <c r="D28" s="6" t="s">
        <v>113</v>
      </c>
      <c r="F28" s="7">
        <v>-1000.0</v>
      </c>
      <c r="G28" s="6" t="s">
        <v>114</v>
      </c>
    </row>
    <row r="29">
      <c r="A29" s="6" t="s">
        <v>115</v>
      </c>
      <c r="B29" s="8">
        <v>46266.0</v>
      </c>
      <c r="C29" s="6" t="s">
        <v>24</v>
      </c>
      <c r="D29" s="6" t="s">
        <v>116</v>
      </c>
      <c r="F29" s="7">
        <v>20.0</v>
      </c>
      <c r="G29" s="6" t="s">
        <v>87</v>
      </c>
    </row>
    <row r="30">
      <c r="A30" s="6" t="s">
        <v>117</v>
      </c>
      <c r="B30" s="8">
        <v>46265.0</v>
      </c>
      <c r="C30" s="6" t="s">
        <v>24</v>
      </c>
      <c r="D30" s="6" t="s">
        <v>118</v>
      </c>
      <c r="F30" s="7">
        <v>-26.34</v>
      </c>
      <c r="G30" s="6" t="s">
        <v>57</v>
      </c>
    </row>
    <row r="31">
      <c r="A31" s="6" t="s">
        <v>119</v>
      </c>
      <c r="B31" s="8">
        <v>46265.0</v>
      </c>
      <c r="C31" s="6" t="s">
        <v>24</v>
      </c>
      <c r="D31" s="6" t="s">
        <v>120</v>
      </c>
      <c r="F31" s="7">
        <v>-12.47</v>
      </c>
      <c r="G31" s="6" t="s">
        <v>43</v>
      </c>
    </row>
    <row r="32">
      <c r="A32" s="6" t="s">
        <v>121</v>
      </c>
      <c r="B32" s="8">
        <v>46265.0</v>
      </c>
      <c r="C32" s="6" t="s">
        <v>24</v>
      </c>
      <c r="D32" s="6" t="s">
        <v>122</v>
      </c>
      <c r="F32" s="7">
        <v>-2.07</v>
      </c>
      <c r="G32" s="6" t="s">
        <v>43</v>
      </c>
    </row>
    <row r="33">
      <c r="A33" s="6" t="s">
        <v>123</v>
      </c>
      <c r="B33" s="8">
        <v>46265.0</v>
      </c>
      <c r="C33" s="6" t="s">
        <v>24</v>
      </c>
      <c r="D33" s="6" t="s">
        <v>124</v>
      </c>
      <c r="F33" s="7">
        <v>-8.24</v>
      </c>
      <c r="G33" s="6" t="s">
        <v>125</v>
      </c>
    </row>
    <row r="34">
      <c r="A34" s="6" t="s">
        <v>126</v>
      </c>
      <c r="B34" s="8">
        <v>46265.0</v>
      </c>
      <c r="C34" s="6" t="s">
        <v>24</v>
      </c>
      <c r="D34" s="6" t="s">
        <v>127</v>
      </c>
      <c r="F34" s="7">
        <v>-6.52</v>
      </c>
      <c r="G34" s="6" t="s">
        <v>43</v>
      </c>
    </row>
    <row r="35">
      <c r="A35" s="6" t="s">
        <v>128</v>
      </c>
      <c r="B35" s="8">
        <v>46265.0</v>
      </c>
      <c r="C35" s="6" t="s">
        <v>24</v>
      </c>
      <c r="D35" s="6" t="s">
        <v>129</v>
      </c>
      <c r="F35" s="7">
        <v>-25.0</v>
      </c>
      <c r="G35" s="6" t="s">
        <v>95</v>
      </c>
    </row>
    <row r="36">
      <c r="A36" s="6" t="s">
        <v>130</v>
      </c>
      <c r="B36" s="8">
        <v>46265.0</v>
      </c>
      <c r="C36" s="6" t="s">
        <v>24</v>
      </c>
      <c r="D36" s="6" t="s">
        <v>131</v>
      </c>
      <c r="F36" s="7">
        <v>-12.99</v>
      </c>
      <c r="G36" s="6" t="s">
        <v>74</v>
      </c>
    </row>
    <row r="37">
      <c r="A37" s="6" t="s">
        <v>132</v>
      </c>
      <c r="B37" s="8">
        <v>46265.0</v>
      </c>
      <c r="C37" s="6" t="s">
        <v>24</v>
      </c>
      <c r="D37" s="6" t="s">
        <v>133</v>
      </c>
      <c r="F37" s="7">
        <v>-129.3</v>
      </c>
      <c r="G37" s="6" t="s">
        <v>134</v>
      </c>
    </row>
    <row r="38">
      <c r="A38" s="6" t="s">
        <v>135</v>
      </c>
      <c r="B38" s="8">
        <v>46265.0</v>
      </c>
      <c r="C38" s="6" t="s">
        <v>24</v>
      </c>
      <c r="D38" s="6" t="s">
        <v>136</v>
      </c>
      <c r="F38" s="7">
        <v>-9.02</v>
      </c>
      <c r="G38" s="6" t="s">
        <v>43</v>
      </c>
    </row>
    <row r="39">
      <c r="A39" s="6" t="s">
        <v>137</v>
      </c>
      <c r="B39" s="8">
        <v>46265.0</v>
      </c>
      <c r="C39" s="6" t="s">
        <v>24</v>
      </c>
      <c r="D39" s="6" t="s">
        <v>138</v>
      </c>
      <c r="F39" s="7">
        <v>-15.03</v>
      </c>
      <c r="G39" s="6" t="s">
        <v>43</v>
      </c>
    </row>
    <row r="40">
      <c r="A40" s="6" t="s">
        <v>140</v>
      </c>
      <c r="B40" s="8">
        <v>46265.0</v>
      </c>
      <c r="C40" s="6" t="s">
        <v>24</v>
      </c>
      <c r="D40" s="6" t="s">
        <v>141</v>
      </c>
      <c r="F40" s="7">
        <v>-3.5</v>
      </c>
      <c r="G40" s="6" t="s">
        <v>43</v>
      </c>
    </row>
    <row r="41">
      <c r="A41" s="6" t="s">
        <v>142</v>
      </c>
      <c r="B41" s="8">
        <v>46265.0</v>
      </c>
      <c r="C41" s="6" t="s">
        <v>24</v>
      </c>
      <c r="D41" s="6" t="s">
        <v>143</v>
      </c>
      <c r="F41" s="7">
        <v>-8.71</v>
      </c>
      <c r="G41" s="6" t="s">
        <v>43</v>
      </c>
    </row>
    <row r="42">
      <c r="A42" s="6" t="s">
        <v>144</v>
      </c>
      <c r="B42" s="8">
        <v>46265.0</v>
      </c>
      <c r="C42" s="6" t="s">
        <v>24</v>
      </c>
      <c r="D42" s="6" t="s">
        <v>143</v>
      </c>
      <c r="F42" s="7">
        <v>-5.45</v>
      </c>
      <c r="G42" s="6" t="s">
        <v>43</v>
      </c>
    </row>
    <row r="43">
      <c r="A43" s="6" t="s">
        <v>145</v>
      </c>
      <c r="B43" s="8">
        <v>46265.0</v>
      </c>
      <c r="C43" s="6" t="s">
        <v>24</v>
      </c>
      <c r="D43" s="6" t="s">
        <v>146</v>
      </c>
      <c r="F43" s="7">
        <v>39.3</v>
      </c>
      <c r="G43" s="6" t="s">
        <v>87</v>
      </c>
    </row>
    <row r="44">
      <c r="A44" s="6" t="s">
        <v>147</v>
      </c>
      <c r="B44" s="8">
        <v>46265.0</v>
      </c>
      <c r="C44" s="6" t="s">
        <v>24</v>
      </c>
      <c r="D44" s="6" t="s">
        <v>148</v>
      </c>
      <c r="F44" s="7">
        <v>40.0</v>
      </c>
      <c r="G44" s="6" t="s">
        <v>87</v>
      </c>
    </row>
    <row r="45">
      <c r="A45" s="6" t="s">
        <v>149</v>
      </c>
      <c r="B45" s="8">
        <v>46265.0</v>
      </c>
      <c r="C45" s="6" t="s">
        <v>24</v>
      </c>
      <c r="D45" s="6" t="s">
        <v>150</v>
      </c>
      <c r="F45" s="7">
        <v>1000.0</v>
      </c>
      <c r="G45" s="6" t="s">
        <v>87</v>
      </c>
    </row>
    <row r="46">
      <c r="A46" s="6">
        <v>1.0245171E7</v>
      </c>
      <c r="B46" s="8">
        <v>46262.0</v>
      </c>
      <c r="C46" s="6" t="s">
        <v>24</v>
      </c>
      <c r="D46" s="6" t="s">
        <v>151</v>
      </c>
      <c r="F46" s="7">
        <v>-5.66</v>
      </c>
      <c r="G46" s="6" t="s">
        <v>43</v>
      </c>
    </row>
    <row r="47">
      <c r="A47" s="6" t="s">
        <v>152</v>
      </c>
      <c r="B47" s="8">
        <v>46262.0</v>
      </c>
      <c r="C47" s="6" t="s">
        <v>24</v>
      </c>
      <c r="D47" s="6" t="s">
        <v>53</v>
      </c>
      <c r="F47" s="7">
        <v>2085.28</v>
      </c>
      <c r="G47" s="6" t="s">
        <v>54</v>
      </c>
    </row>
    <row r="48">
      <c r="A48" s="6" t="s">
        <v>153</v>
      </c>
      <c r="B48" s="8">
        <v>46261.0</v>
      </c>
      <c r="C48" s="6" t="s">
        <v>24</v>
      </c>
      <c r="D48" s="6" t="s">
        <v>154</v>
      </c>
      <c r="F48" s="7">
        <v>-2.99</v>
      </c>
      <c r="G48" s="6" t="s">
        <v>74</v>
      </c>
    </row>
    <row r="49">
      <c r="A49" s="6" t="s">
        <v>155</v>
      </c>
      <c r="B49" s="8">
        <v>46258.0</v>
      </c>
      <c r="C49" s="6" t="s">
        <v>24</v>
      </c>
      <c r="D49" s="6" t="s">
        <v>156</v>
      </c>
      <c r="F49" s="7">
        <v>-8.83</v>
      </c>
      <c r="G49" s="6" t="s">
        <v>57</v>
      </c>
    </row>
    <row r="50">
      <c r="A50" s="6" t="s">
        <v>157</v>
      </c>
      <c r="B50" s="8">
        <v>46258.0</v>
      </c>
      <c r="C50" s="6" t="s">
        <v>24</v>
      </c>
      <c r="D50" s="6" t="s">
        <v>158</v>
      </c>
      <c r="F50" s="7">
        <v>-5.0</v>
      </c>
      <c r="G50" s="6" t="s">
        <v>74</v>
      </c>
    </row>
    <row r="51">
      <c r="A51" s="6" t="s">
        <v>159</v>
      </c>
      <c r="B51" s="8">
        <v>46258.0</v>
      </c>
      <c r="C51" s="6" t="s">
        <v>24</v>
      </c>
      <c r="D51" s="6" t="s">
        <v>158</v>
      </c>
      <c r="F51" s="7">
        <v>-5.0</v>
      </c>
      <c r="G51" s="6" t="s">
        <v>74</v>
      </c>
    </row>
    <row r="52">
      <c r="A52" s="6" t="s">
        <v>161</v>
      </c>
      <c r="B52" s="8">
        <v>46258.0</v>
      </c>
      <c r="C52" s="6" t="s">
        <v>24</v>
      </c>
      <c r="D52" s="6" t="s">
        <v>162</v>
      </c>
      <c r="F52" s="7">
        <v>-94.56</v>
      </c>
      <c r="G52" s="6" t="s">
        <v>57</v>
      </c>
    </row>
    <row r="53">
      <c r="A53" s="6" t="s">
        <v>163</v>
      </c>
      <c r="B53" s="8">
        <v>46258.0</v>
      </c>
      <c r="C53" s="6" t="s">
        <v>24</v>
      </c>
      <c r="D53" s="6" t="s">
        <v>164</v>
      </c>
      <c r="F53" s="7">
        <v>-9.17</v>
      </c>
      <c r="G53" s="6" t="s">
        <v>43</v>
      </c>
    </row>
    <row r="54">
      <c r="A54" s="6" t="s">
        <v>165</v>
      </c>
      <c r="B54" s="8">
        <v>46258.0</v>
      </c>
      <c r="C54" s="6" t="s">
        <v>24</v>
      </c>
      <c r="D54" s="6" t="s">
        <v>166</v>
      </c>
      <c r="F54" s="7">
        <v>-20.0</v>
      </c>
      <c r="G54" s="6" t="s">
        <v>74</v>
      </c>
    </row>
    <row r="55">
      <c r="A55" s="6" t="s">
        <v>167</v>
      </c>
      <c r="B55" s="8">
        <v>46258.0</v>
      </c>
      <c r="C55" s="6" t="s">
        <v>24</v>
      </c>
      <c r="D55" s="6" t="s">
        <v>169</v>
      </c>
      <c r="F55" s="7">
        <v>-9.18</v>
      </c>
      <c r="G55" s="6" t="s">
        <v>43</v>
      </c>
    </row>
    <row r="56">
      <c r="A56" s="6" t="s">
        <v>170</v>
      </c>
      <c r="B56" s="8">
        <v>46258.0</v>
      </c>
      <c r="C56" s="6" t="s">
        <v>24</v>
      </c>
      <c r="D56" s="6" t="s">
        <v>171</v>
      </c>
      <c r="F56" s="7">
        <v>-4.35</v>
      </c>
      <c r="G56" s="6" t="s">
        <v>134</v>
      </c>
    </row>
    <row r="57">
      <c r="A57" s="6" t="s">
        <v>173</v>
      </c>
      <c r="B57" s="8">
        <v>46258.0</v>
      </c>
      <c r="C57" s="6" t="s">
        <v>24</v>
      </c>
      <c r="D57" s="6" t="s">
        <v>174</v>
      </c>
      <c r="F57" s="7">
        <v>-1.6</v>
      </c>
      <c r="G57" s="6" t="s">
        <v>43</v>
      </c>
    </row>
    <row r="58">
      <c r="A58" s="6" t="s">
        <v>177</v>
      </c>
      <c r="B58" s="8">
        <v>46258.0</v>
      </c>
      <c r="C58" s="6" t="s">
        <v>24</v>
      </c>
      <c r="D58" s="6" t="s">
        <v>179</v>
      </c>
      <c r="F58" s="7">
        <v>-12.44</v>
      </c>
      <c r="G58" s="6" t="s">
        <v>43</v>
      </c>
    </row>
    <row r="59">
      <c r="A59" s="6" t="s">
        <v>181</v>
      </c>
      <c r="B59" s="8">
        <v>46258.0</v>
      </c>
      <c r="C59" s="6" t="s">
        <v>24</v>
      </c>
      <c r="D59" s="6" t="s">
        <v>182</v>
      </c>
      <c r="F59" s="7">
        <v>-15.77</v>
      </c>
      <c r="G59" s="6" t="s">
        <v>134</v>
      </c>
    </row>
    <row r="60">
      <c r="A60" s="6" t="s">
        <v>183</v>
      </c>
      <c r="B60" s="8">
        <v>46258.0</v>
      </c>
      <c r="C60" s="6" t="s">
        <v>24</v>
      </c>
      <c r="D60" s="6" t="s">
        <v>184</v>
      </c>
      <c r="F60" s="7">
        <v>-22.21</v>
      </c>
      <c r="G60" s="6" t="s">
        <v>43</v>
      </c>
    </row>
    <row r="61">
      <c r="A61" s="6" t="s">
        <v>185</v>
      </c>
      <c r="B61" s="8">
        <v>46258.0</v>
      </c>
      <c r="C61" s="6" t="s">
        <v>24</v>
      </c>
      <c r="D61" s="6" t="s">
        <v>186</v>
      </c>
      <c r="F61" s="7">
        <v>-8.01</v>
      </c>
      <c r="G61" s="6" t="s">
        <v>74</v>
      </c>
    </row>
    <row r="62">
      <c r="A62" s="6" t="s">
        <v>187</v>
      </c>
      <c r="B62" s="8">
        <v>46258.0</v>
      </c>
      <c r="C62" s="6" t="s">
        <v>24</v>
      </c>
      <c r="D62" s="6" t="s">
        <v>188</v>
      </c>
      <c r="F62" s="7">
        <v>-28.0</v>
      </c>
      <c r="G62" s="6" t="s">
        <v>189</v>
      </c>
    </row>
    <row r="63">
      <c r="A63" s="6" t="s">
        <v>190</v>
      </c>
      <c r="B63" s="8">
        <v>46258.0</v>
      </c>
      <c r="C63" s="6" t="s">
        <v>24</v>
      </c>
      <c r="D63" s="6" t="s">
        <v>191</v>
      </c>
      <c r="F63" s="7">
        <v>-5.66</v>
      </c>
      <c r="G63" s="6" t="s">
        <v>43</v>
      </c>
    </row>
    <row r="64">
      <c r="A64" s="6" t="s">
        <v>193</v>
      </c>
      <c r="B64" s="8">
        <v>46258.0</v>
      </c>
      <c r="C64" s="6" t="s">
        <v>24</v>
      </c>
      <c r="D64" s="6" t="s">
        <v>194</v>
      </c>
      <c r="F64" s="7">
        <v>-3.39</v>
      </c>
      <c r="G64" s="6" t="s">
        <v>43</v>
      </c>
    </row>
    <row r="65">
      <c r="A65" s="6" t="s">
        <v>195</v>
      </c>
      <c r="B65" s="8">
        <v>46255.0</v>
      </c>
      <c r="C65" s="6" t="s">
        <v>24</v>
      </c>
      <c r="D65" s="6" t="s">
        <v>196</v>
      </c>
      <c r="F65" s="7">
        <v>-17.05</v>
      </c>
      <c r="G65" s="6" t="s">
        <v>189</v>
      </c>
    </row>
    <row r="66">
      <c r="A66" s="6" t="s">
        <v>197</v>
      </c>
      <c r="B66" s="8">
        <v>46255.0</v>
      </c>
      <c r="C66" s="6" t="s">
        <v>24</v>
      </c>
      <c r="D66" s="6" t="s">
        <v>198</v>
      </c>
      <c r="F66" s="7">
        <v>-3.5</v>
      </c>
      <c r="G66" s="6" t="s">
        <v>43</v>
      </c>
    </row>
    <row r="67">
      <c r="A67" s="6" t="s">
        <v>199</v>
      </c>
      <c r="B67" s="8">
        <v>46255.0</v>
      </c>
      <c r="C67" s="6" t="s">
        <v>24</v>
      </c>
      <c r="D67" s="6" t="s">
        <v>200</v>
      </c>
      <c r="F67" s="7">
        <v>-5.02</v>
      </c>
      <c r="G67" s="6" t="s">
        <v>43</v>
      </c>
    </row>
    <row r="68">
      <c r="A68" s="6" t="s">
        <v>201</v>
      </c>
      <c r="B68" s="8">
        <v>46254.0</v>
      </c>
      <c r="C68" s="6" t="s">
        <v>24</v>
      </c>
      <c r="D68" s="6" t="s">
        <v>202</v>
      </c>
      <c r="F68" s="7">
        <v>-13.98</v>
      </c>
      <c r="G68" s="6" t="s">
        <v>134</v>
      </c>
    </row>
    <row r="69">
      <c r="A69" s="6" t="s">
        <v>204</v>
      </c>
      <c r="B69" s="8">
        <v>46254.0</v>
      </c>
      <c r="C69" s="6" t="s">
        <v>24</v>
      </c>
      <c r="D69" s="6" t="s">
        <v>205</v>
      </c>
      <c r="F69" s="7">
        <v>-72.73</v>
      </c>
      <c r="G69" s="6" t="s">
        <v>134</v>
      </c>
    </row>
    <row r="70">
      <c r="A70" s="6" t="s">
        <v>206</v>
      </c>
      <c r="B70" s="8">
        <v>46253.0</v>
      </c>
      <c r="C70" s="6" t="s">
        <v>24</v>
      </c>
      <c r="D70" s="6" t="s">
        <v>207</v>
      </c>
      <c r="F70" s="7">
        <v>-43.39</v>
      </c>
      <c r="G70" s="6" t="s">
        <v>95</v>
      </c>
    </row>
    <row r="71">
      <c r="A71" s="6" t="s">
        <v>208</v>
      </c>
      <c r="B71" s="8">
        <v>46253.0</v>
      </c>
      <c r="C71" s="6" t="s">
        <v>24</v>
      </c>
      <c r="D71" s="6" t="s">
        <v>209</v>
      </c>
      <c r="F71" s="7">
        <v>-16.2</v>
      </c>
      <c r="G71" s="6" t="s">
        <v>43</v>
      </c>
    </row>
    <row r="72">
      <c r="A72" s="6" t="s">
        <v>210</v>
      </c>
      <c r="B72" s="8">
        <v>46252.0</v>
      </c>
      <c r="C72" s="6" t="s">
        <v>24</v>
      </c>
      <c r="D72" s="6" t="s">
        <v>211</v>
      </c>
      <c r="F72" s="7">
        <v>-42.55</v>
      </c>
      <c r="G72" s="6" t="s">
        <v>212</v>
      </c>
    </row>
    <row r="73">
      <c r="A73" s="6" t="s">
        <v>213</v>
      </c>
      <c r="B73" s="8">
        <v>46252.0</v>
      </c>
      <c r="C73" s="6" t="s">
        <v>24</v>
      </c>
      <c r="D73" s="6" t="s">
        <v>214</v>
      </c>
      <c r="F73" s="7">
        <v>-50.0</v>
      </c>
      <c r="G73" s="6" t="s">
        <v>87</v>
      </c>
    </row>
    <row r="74">
      <c r="A74" s="6" t="s">
        <v>216</v>
      </c>
      <c r="B74" s="8">
        <v>46252.0</v>
      </c>
      <c r="C74" s="6" t="s">
        <v>24</v>
      </c>
      <c r="D74" s="6" t="s">
        <v>217</v>
      </c>
      <c r="F74" s="7">
        <v>-300.0</v>
      </c>
      <c r="G74" s="6" t="s">
        <v>114</v>
      </c>
    </row>
    <row r="75">
      <c r="A75" s="6" t="s">
        <v>218</v>
      </c>
      <c r="B75" s="8">
        <v>46252.0</v>
      </c>
      <c r="C75" s="6" t="s">
        <v>24</v>
      </c>
      <c r="D75" s="6" t="s">
        <v>219</v>
      </c>
      <c r="F75" s="7">
        <v>-4.11</v>
      </c>
      <c r="G75" s="6" t="s">
        <v>57</v>
      </c>
    </row>
    <row r="76">
      <c r="A76" s="6" t="s">
        <v>220</v>
      </c>
      <c r="B76" s="8">
        <v>46252.0</v>
      </c>
      <c r="C76" s="6" t="s">
        <v>24</v>
      </c>
      <c r="D76" s="6" t="s">
        <v>221</v>
      </c>
      <c r="F76" s="7">
        <v>-10.69</v>
      </c>
      <c r="G76" s="6" t="s">
        <v>134</v>
      </c>
    </row>
    <row r="77">
      <c r="A77" s="6" t="s">
        <v>222</v>
      </c>
      <c r="B77" s="8">
        <v>46252.0</v>
      </c>
      <c r="C77" s="6" t="s">
        <v>24</v>
      </c>
      <c r="D77" s="6" t="s">
        <v>223</v>
      </c>
      <c r="F77" s="7">
        <v>-19.05</v>
      </c>
      <c r="G77" s="6" t="s">
        <v>134</v>
      </c>
    </row>
    <row r="78">
      <c r="A78" s="6" t="s">
        <v>224</v>
      </c>
      <c r="B78" s="8">
        <v>46252.0</v>
      </c>
      <c r="C78" s="6" t="s">
        <v>24</v>
      </c>
      <c r="D78" s="6" t="s">
        <v>225</v>
      </c>
      <c r="F78" s="7">
        <v>-10.65</v>
      </c>
      <c r="G78" s="6" t="s">
        <v>134</v>
      </c>
    </row>
    <row r="79">
      <c r="A79" s="6" t="s">
        <v>226</v>
      </c>
      <c r="B79" s="8">
        <v>46252.0</v>
      </c>
      <c r="C79" s="6" t="s">
        <v>24</v>
      </c>
      <c r="D79" s="6" t="s">
        <v>228</v>
      </c>
      <c r="F79" s="7">
        <v>-27.26</v>
      </c>
      <c r="G79" s="6" t="s">
        <v>134</v>
      </c>
    </row>
    <row r="80">
      <c r="A80" s="6" t="s">
        <v>229</v>
      </c>
      <c r="B80" s="8">
        <v>46252.0</v>
      </c>
      <c r="C80" s="6" t="s">
        <v>24</v>
      </c>
      <c r="D80" s="6" t="s">
        <v>230</v>
      </c>
      <c r="F80" s="7">
        <v>-10.69</v>
      </c>
      <c r="G80" s="6" t="s">
        <v>134</v>
      </c>
    </row>
    <row r="81">
      <c r="A81" s="6" t="s">
        <v>231</v>
      </c>
      <c r="B81" s="8">
        <v>46252.0</v>
      </c>
      <c r="C81" s="6" t="s">
        <v>24</v>
      </c>
      <c r="D81" s="6" t="s">
        <v>232</v>
      </c>
      <c r="F81" s="7">
        <v>-16.02</v>
      </c>
      <c r="G81" s="6" t="s">
        <v>134</v>
      </c>
    </row>
    <row r="82">
      <c r="A82" s="6" t="s">
        <v>233</v>
      </c>
      <c r="B82" s="8">
        <v>46252.0</v>
      </c>
      <c r="C82" s="6" t="s">
        <v>24</v>
      </c>
      <c r="D82" s="6" t="s">
        <v>234</v>
      </c>
      <c r="F82" s="7">
        <v>-31.99</v>
      </c>
      <c r="G82" s="6" t="s">
        <v>134</v>
      </c>
    </row>
    <row r="83">
      <c r="A83" s="6" t="s">
        <v>236</v>
      </c>
      <c r="B83" s="8">
        <v>46252.0</v>
      </c>
      <c r="C83" s="6" t="s">
        <v>24</v>
      </c>
      <c r="D83" s="6" t="s">
        <v>237</v>
      </c>
      <c r="F83" s="7">
        <v>-32.08</v>
      </c>
      <c r="G83" s="6" t="s">
        <v>134</v>
      </c>
    </row>
    <row r="84">
      <c r="A84" s="6" t="s">
        <v>238</v>
      </c>
      <c r="B84" s="8">
        <v>46252.0</v>
      </c>
      <c r="C84" s="6" t="s">
        <v>24</v>
      </c>
      <c r="D84" s="6" t="s">
        <v>241</v>
      </c>
      <c r="F84" s="7">
        <v>9.9</v>
      </c>
      <c r="G84" s="6" t="s">
        <v>54</v>
      </c>
    </row>
    <row r="85">
      <c r="A85" s="6" t="s">
        <v>242</v>
      </c>
      <c r="B85" s="8">
        <v>46251.0</v>
      </c>
      <c r="C85" s="6" t="s">
        <v>24</v>
      </c>
      <c r="D85" s="6" t="s">
        <v>243</v>
      </c>
      <c r="F85" s="7">
        <v>-21.27</v>
      </c>
      <c r="G85" s="6" t="s">
        <v>134</v>
      </c>
    </row>
    <row r="86">
      <c r="A86" s="6" t="s">
        <v>244</v>
      </c>
      <c r="B86" s="8">
        <v>46251.0</v>
      </c>
      <c r="C86" s="6" t="s">
        <v>24</v>
      </c>
      <c r="D86" s="6" t="s">
        <v>245</v>
      </c>
      <c r="F86" s="7">
        <v>-58.04</v>
      </c>
      <c r="G86" s="6" t="s">
        <v>57</v>
      </c>
    </row>
    <row r="87">
      <c r="A87" s="6" t="s">
        <v>247</v>
      </c>
      <c r="B87" s="8">
        <v>46251.0</v>
      </c>
      <c r="C87" s="6" t="s">
        <v>24</v>
      </c>
      <c r="D87" s="6" t="s">
        <v>249</v>
      </c>
      <c r="F87" s="7">
        <v>-9.62</v>
      </c>
      <c r="G87" s="6" t="s">
        <v>134</v>
      </c>
    </row>
    <row r="88">
      <c r="A88" s="6" t="s">
        <v>250</v>
      </c>
      <c r="B88" s="8">
        <v>46251.0</v>
      </c>
      <c r="C88" s="6" t="s">
        <v>24</v>
      </c>
      <c r="D88" s="6" t="s">
        <v>251</v>
      </c>
      <c r="F88" s="7">
        <v>-4.27</v>
      </c>
      <c r="G88" s="6" t="s">
        <v>134</v>
      </c>
    </row>
    <row r="89">
      <c r="A89" s="6" t="s">
        <v>252</v>
      </c>
      <c r="B89" s="8">
        <v>46251.0</v>
      </c>
      <c r="C89" s="6" t="s">
        <v>24</v>
      </c>
      <c r="D89" s="6" t="s">
        <v>254</v>
      </c>
      <c r="F89" s="7">
        <v>-6.41</v>
      </c>
      <c r="G89" s="6" t="s">
        <v>134</v>
      </c>
    </row>
    <row r="90">
      <c r="A90" s="6" t="s">
        <v>255</v>
      </c>
      <c r="B90" s="8">
        <v>46251.0</v>
      </c>
      <c r="C90" s="6" t="s">
        <v>24</v>
      </c>
      <c r="D90" s="6" t="s">
        <v>256</v>
      </c>
      <c r="F90" s="7">
        <v>-14.71</v>
      </c>
      <c r="G90" s="6" t="s">
        <v>134</v>
      </c>
    </row>
    <row r="91">
      <c r="A91" s="6" t="s">
        <v>257</v>
      </c>
      <c r="B91" s="8">
        <v>46251.0</v>
      </c>
      <c r="C91" s="6" t="s">
        <v>24</v>
      </c>
      <c r="D91" s="6" t="s">
        <v>258</v>
      </c>
      <c r="F91" s="7">
        <v>-24.61</v>
      </c>
      <c r="G91" s="6" t="s">
        <v>134</v>
      </c>
    </row>
    <row r="92">
      <c r="A92" s="6" t="s">
        <v>259</v>
      </c>
      <c r="B92" s="8">
        <v>46251.0</v>
      </c>
      <c r="C92" s="6" t="s">
        <v>24</v>
      </c>
      <c r="D92" s="6" t="s">
        <v>260</v>
      </c>
      <c r="F92" s="7">
        <v>-10.53</v>
      </c>
      <c r="G92" s="6" t="s">
        <v>134</v>
      </c>
    </row>
    <row r="93">
      <c r="A93" s="6" t="s">
        <v>261</v>
      </c>
      <c r="B93" s="8">
        <v>46251.0</v>
      </c>
      <c r="C93" s="6" t="s">
        <v>24</v>
      </c>
      <c r="D93" s="6" t="s">
        <v>262</v>
      </c>
      <c r="F93" s="7">
        <v>-14.54</v>
      </c>
      <c r="G93" s="6" t="s">
        <v>134</v>
      </c>
    </row>
    <row r="94">
      <c r="A94" s="6" t="s">
        <v>263</v>
      </c>
      <c r="B94" s="8">
        <v>46251.0</v>
      </c>
      <c r="C94" s="6" t="s">
        <v>24</v>
      </c>
      <c r="D94" s="6" t="s">
        <v>264</v>
      </c>
      <c r="F94" s="7">
        <v>-32.05</v>
      </c>
      <c r="G94" s="6" t="s">
        <v>134</v>
      </c>
    </row>
    <row r="95">
      <c r="A95" s="6" t="s">
        <v>265</v>
      </c>
      <c r="B95" s="8">
        <v>46251.0</v>
      </c>
      <c r="C95" s="6" t="s">
        <v>24</v>
      </c>
      <c r="D95" s="6" t="s">
        <v>266</v>
      </c>
      <c r="F95" s="7">
        <v>-17.12</v>
      </c>
      <c r="G95" s="6" t="s">
        <v>134</v>
      </c>
    </row>
    <row r="96">
      <c r="A96" s="6" t="s">
        <v>267</v>
      </c>
      <c r="B96" s="8">
        <v>46251.0</v>
      </c>
      <c r="C96" s="6" t="s">
        <v>24</v>
      </c>
      <c r="D96" s="6" t="s">
        <v>268</v>
      </c>
      <c r="F96" s="7">
        <v>-21.39</v>
      </c>
      <c r="G96" s="6" t="s">
        <v>134</v>
      </c>
    </row>
    <row r="97">
      <c r="A97" s="6" t="s">
        <v>270</v>
      </c>
      <c r="B97" s="8">
        <v>46251.0</v>
      </c>
      <c r="C97" s="6" t="s">
        <v>24</v>
      </c>
      <c r="D97" s="6" t="s">
        <v>271</v>
      </c>
      <c r="F97" s="7">
        <v>-8.55</v>
      </c>
      <c r="G97" s="6" t="s">
        <v>134</v>
      </c>
    </row>
    <row r="98">
      <c r="A98" s="6" t="s">
        <v>272</v>
      </c>
      <c r="B98" s="8">
        <v>46251.0</v>
      </c>
      <c r="C98" s="6" t="s">
        <v>24</v>
      </c>
      <c r="D98" s="6" t="s">
        <v>273</v>
      </c>
      <c r="F98" s="7">
        <v>-17.1</v>
      </c>
      <c r="G98" s="6" t="s">
        <v>134</v>
      </c>
    </row>
    <row r="99">
      <c r="A99" s="6" t="s">
        <v>274</v>
      </c>
      <c r="B99" s="8">
        <v>46251.0</v>
      </c>
      <c r="C99" s="6" t="s">
        <v>24</v>
      </c>
      <c r="D99" s="6" t="s">
        <v>276</v>
      </c>
      <c r="F99" s="7">
        <v>-13.05</v>
      </c>
      <c r="G99" s="6" t="s">
        <v>134</v>
      </c>
    </row>
    <row r="100">
      <c r="A100" s="6" t="s">
        <v>277</v>
      </c>
      <c r="B100" s="8">
        <v>46251.0</v>
      </c>
      <c r="C100" s="6" t="s">
        <v>24</v>
      </c>
      <c r="D100" s="6" t="s">
        <v>278</v>
      </c>
      <c r="F100" s="7">
        <v>-13.24</v>
      </c>
      <c r="G100" s="6" t="s">
        <v>134</v>
      </c>
    </row>
    <row r="101">
      <c r="A101" s="6" t="s">
        <v>279</v>
      </c>
      <c r="B101" s="8">
        <v>46251.0</v>
      </c>
      <c r="C101" s="6" t="s">
        <v>24</v>
      </c>
      <c r="D101" s="6" t="s">
        <v>280</v>
      </c>
      <c r="F101" s="7">
        <v>-11.76</v>
      </c>
      <c r="G101" s="6" t="s">
        <v>134</v>
      </c>
    </row>
    <row r="102">
      <c r="A102" s="6" t="s">
        <v>281</v>
      </c>
      <c r="B102" s="8">
        <v>46251.0</v>
      </c>
      <c r="C102" s="6" t="s">
        <v>24</v>
      </c>
      <c r="D102" s="6" t="s">
        <v>282</v>
      </c>
      <c r="F102" s="7">
        <v>-10.69</v>
      </c>
      <c r="G102" s="6" t="s">
        <v>134</v>
      </c>
    </row>
    <row r="103">
      <c r="A103" s="6" t="s">
        <v>283</v>
      </c>
      <c r="B103" s="8">
        <v>46251.0</v>
      </c>
      <c r="C103" s="6" t="s">
        <v>24</v>
      </c>
      <c r="D103" s="6" t="s">
        <v>284</v>
      </c>
      <c r="F103" s="7">
        <v>-79.83</v>
      </c>
      <c r="G103" s="6" t="s">
        <v>57</v>
      </c>
    </row>
    <row r="104">
      <c r="A104" s="6" t="s">
        <v>285</v>
      </c>
      <c r="B104" s="8">
        <v>46251.0</v>
      </c>
      <c r="C104" s="6" t="s">
        <v>24</v>
      </c>
      <c r="D104" s="6" t="s">
        <v>286</v>
      </c>
      <c r="F104" s="7">
        <v>-13.67</v>
      </c>
      <c r="G104" s="6" t="s">
        <v>43</v>
      </c>
    </row>
    <row r="105">
      <c r="A105" s="6">
        <v>8.5215135E7</v>
      </c>
      <c r="B105" s="8">
        <v>46251.0</v>
      </c>
      <c r="C105" s="6" t="s">
        <v>24</v>
      </c>
      <c r="D105" s="6" t="s">
        <v>288</v>
      </c>
      <c r="F105" s="7">
        <v>-540.0</v>
      </c>
      <c r="G105" s="6" t="s">
        <v>289</v>
      </c>
    </row>
    <row r="106">
      <c r="A106" s="6" t="s">
        <v>290</v>
      </c>
      <c r="B106" s="8">
        <v>46251.0</v>
      </c>
      <c r="C106" s="6" t="s">
        <v>24</v>
      </c>
      <c r="D106" s="6" t="s">
        <v>291</v>
      </c>
      <c r="F106" s="7">
        <v>-21.39</v>
      </c>
      <c r="G106" s="6" t="s">
        <v>134</v>
      </c>
    </row>
    <row r="107">
      <c r="A107" s="6" t="s">
        <v>293</v>
      </c>
      <c r="B107" s="8">
        <v>46251.0</v>
      </c>
      <c r="C107" s="6" t="s">
        <v>24</v>
      </c>
      <c r="D107" s="6" t="s">
        <v>294</v>
      </c>
      <c r="F107" s="7">
        <v>-5.16</v>
      </c>
      <c r="G107" s="6" t="s">
        <v>43</v>
      </c>
    </row>
    <row r="108">
      <c r="A108" s="6" t="s">
        <v>295</v>
      </c>
      <c r="B108" s="8">
        <v>46251.0</v>
      </c>
      <c r="C108" s="6" t="s">
        <v>24</v>
      </c>
      <c r="D108" s="6" t="s">
        <v>297</v>
      </c>
      <c r="F108" s="7">
        <v>-7.48</v>
      </c>
      <c r="G108" s="6" t="s">
        <v>134</v>
      </c>
    </row>
    <row r="109">
      <c r="A109" s="6" t="s">
        <v>298</v>
      </c>
      <c r="B109" s="8">
        <v>46251.0</v>
      </c>
      <c r="C109" s="6" t="s">
        <v>24</v>
      </c>
      <c r="D109" s="6" t="s">
        <v>299</v>
      </c>
      <c r="F109" s="7">
        <v>-27.26</v>
      </c>
      <c r="G109" s="6" t="s">
        <v>134</v>
      </c>
    </row>
    <row r="110">
      <c r="A110" s="6" t="s">
        <v>301</v>
      </c>
      <c r="B110" s="8">
        <v>46251.0</v>
      </c>
      <c r="C110" s="6" t="s">
        <v>24</v>
      </c>
      <c r="D110" s="6" t="s">
        <v>303</v>
      </c>
      <c r="F110" s="7">
        <v>-18.88</v>
      </c>
      <c r="G110" s="6" t="s">
        <v>57</v>
      </c>
    </row>
    <row r="111">
      <c r="A111" s="6" t="s">
        <v>305</v>
      </c>
      <c r="B111" s="8">
        <v>46251.0</v>
      </c>
      <c r="C111" s="6" t="s">
        <v>24</v>
      </c>
      <c r="D111" s="6" t="s">
        <v>306</v>
      </c>
      <c r="F111" s="7">
        <v>-25.04</v>
      </c>
      <c r="G111" s="6" t="s">
        <v>189</v>
      </c>
    </row>
    <row r="112">
      <c r="A112" s="6" t="s">
        <v>308</v>
      </c>
      <c r="B112" s="8">
        <v>46251.0</v>
      </c>
      <c r="C112" s="6" t="s">
        <v>24</v>
      </c>
      <c r="D112" s="6" t="s">
        <v>310</v>
      </c>
      <c r="F112" s="7">
        <v>-15.0</v>
      </c>
      <c r="G112" s="6" t="s">
        <v>95</v>
      </c>
    </row>
    <row r="113">
      <c r="A113" s="6" t="s">
        <v>311</v>
      </c>
      <c r="B113" s="8">
        <v>46251.0</v>
      </c>
      <c r="C113" s="6" t="s">
        <v>24</v>
      </c>
      <c r="D113" s="6" t="s">
        <v>313</v>
      </c>
      <c r="F113" s="7">
        <v>-11.29</v>
      </c>
      <c r="G113" s="6" t="s">
        <v>43</v>
      </c>
    </row>
    <row r="114">
      <c r="A114" s="6" t="s">
        <v>315</v>
      </c>
      <c r="B114" s="8">
        <v>46251.0</v>
      </c>
      <c r="C114" s="6" t="s">
        <v>24</v>
      </c>
      <c r="D114" s="6" t="s">
        <v>316</v>
      </c>
      <c r="F114" s="7">
        <v>-10.69</v>
      </c>
      <c r="G114" s="6" t="s">
        <v>134</v>
      </c>
    </row>
    <row r="115">
      <c r="A115" s="6" t="s">
        <v>318</v>
      </c>
      <c r="B115" s="8">
        <v>46251.0</v>
      </c>
      <c r="C115" s="6" t="s">
        <v>24</v>
      </c>
      <c r="D115" s="6" t="s">
        <v>320</v>
      </c>
      <c r="F115" s="7">
        <v>-10.69</v>
      </c>
      <c r="G115" s="6" t="s">
        <v>134</v>
      </c>
    </row>
    <row r="116">
      <c r="A116" s="6" t="s">
        <v>322</v>
      </c>
      <c r="B116" s="8">
        <v>46251.0</v>
      </c>
      <c r="C116" s="6" t="s">
        <v>24</v>
      </c>
      <c r="D116" s="6" t="s">
        <v>323</v>
      </c>
      <c r="F116" s="7">
        <v>-5.34</v>
      </c>
      <c r="G116" s="6" t="s">
        <v>134</v>
      </c>
    </row>
    <row r="117">
      <c r="A117" s="6" t="s">
        <v>325</v>
      </c>
      <c r="B117" s="8">
        <v>46251.0</v>
      </c>
      <c r="C117" s="6" t="s">
        <v>24</v>
      </c>
      <c r="D117" s="6" t="s">
        <v>326</v>
      </c>
      <c r="F117" s="7">
        <v>-8.37</v>
      </c>
      <c r="G117" s="6" t="s">
        <v>43</v>
      </c>
    </row>
    <row r="118">
      <c r="A118" s="6" t="s">
        <v>327</v>
      </c>
      <c r="B118" s="8">
        <v>46251.0</v>
      </c>
      <c r="C118" s="6" t="s">
        <v>24</v>
      </c>
      <c r="D118" s="6" t="s">
        <v>328</v>
      </c>
      <c r="F118" s="7">
        <v>-2.45</v>
      </c>
      <c r="G118" s="6" t="s">
        <v>95</v>
      </c>
    </row>
    <row r="119">
      <c r="A119" s="6" t="s">
        <v>330</v>
      </c>
      <c r="B119" s="8">
        <v>46251.0</v>
      </c>
      <c r="C119" s="6" t="s">
        <v>24</v>
      </c>
      <c r="D119" s="6" t="s">
        <v>331</v>
      </c>
      <c r="F119" s="7">
        <v>-10.69</v>
      </c>
      <c r="G119" s="6" t="s">
        <v>134</v>
      </c>
    </row>
    <row r="120">
      <c r="A120" s="6" t="s">
        <v>333</v>
      </c>
      <c r="B120" s="8">
        <v>46251.0</v>
      </c>
      <c r="C120" s="6" t="s">
        <v>24</v>
      </c>
      <c r="D120" s="6" t="s">
        <v>334</v>
      </c>
      <c r="F120" s="7">
        <v>-8.55</v>
      </c>
      <c r="G120" s="6" t="s">
        <v>134</v>
      </c>
    </row>
    <row r="121">
      <c r="A121" s="6" t="s">
        <v>335</v>
      </c>
      <c r="B121" s="8">
        <v>46251.0</v>
      </c>
      <c r="C121" s="6" t="s">
        <v>24</v>
      </c>
      <c r="D121" s="6" t="s">
        <v>336</v>
      </c>
      <c r="F121" s="7">
        <v>-8.55</v>
      </c>
      <c r="G121" s="6" t="s">
        <v>134</v>
      </c>
    </row>
    <row r="122">
      <c r="A122" s="6" t="s">
        <v>337</v>
      </c>
      <c r="B122" s="8">
        <v>46251.0</v>
      </c>
      <c r="C122" s="6" t="s">
        <v>24</v>
      </c>
      <c r="D122" s="6" t="s">
        <v>338</v>
      </c>
      <c r="F122" s="7">
        <v>-10.69</v>
      </c>
      <c r="G122" s="6" t="s">
        <v>134</v>
      </c>
    </row>
    <row r="123">
      <c r="A123" s="6" t="s">
        <v>340</v>
      </c>
      <c r="B123" s="8">
        <v>46251.0</v>
      </c>
      <c r="C123" s="6" t="s">
        <v>24</v>
      </c>
      <c r="D123" s="6" t="s">
        <v>341</v>
      </c>
      <c r="F123" s="7">
        <v>-13.69</v>
      </c>
      <c r="G123" s="6" t="s">
        <v>43</v>
      </c>
    </row>
    <row r="124">
      <c r="A124" s="6">
        <v>6.0402485E7</v>
      </c>
      <c r="B124" s="8">
        <v>46251.0</v>
      </c>
      <c r="C124" s="6" t="s">
        <v>24</v>
      </c>
      <c r="D124" s="6" t="s">
        <v>342</v>
      </c>
      <c r="F124" s="7">
        <v>-5.66</v>
      </c>
      <c r="G124" s="6" t="s">
        <v>43</v>
      </c>
    </row>
    <row r="125">
      <c r="A125" s="6" t="s">
        <v>345</v>
      </c>
      <c r="B125" s="8">
        <v>46251.0</v>
      </c>
      <c r="C125" s="6" t="s">
        <v>24</v>
      </c>
      <c r="D125" s="6" t="s">
        <v>346</v>
      </c>
      <c r="F125" s="7">
        <v>-1.06</v>
      </c>
      <c r="G125" s="6" t="s">
        <v>74</v>
      </c>
    </row>
    <row r="126">
      <c r="A126" s="6" t="s">
        <v>348</v>
      </c>
      <c r="B126" s="8">
        <v>46251.0</v>
      </c>
      <c r="C126" s="6" t="s">
        <v>24</v>
      </c>
      <c r="D126" s="6" t="s">
        <v>349</v>
      </c>
      <c r="F126" s="7">
        <v>-19.99</v>
      </c>
      <c r="G126" s="6" t="s">
        <v>74</v>
      </c>
    </row>
    <row r="127">
      <c r="A127" s="6" t="s">
        <v>350</v>
      </c>
      <c r="B127" s="8">
        <v>46251.0</v>
      </c>
      <c r="C127" s="6" t="s">
        <v>24</v>
      </c>
      <c r="D127" s="6" t="s">
        <v>351</v>
      </c>
      <c r="F127" s="7">
        <v>200.0</v>
      </c>
      <c r="G127" s="6" t="s">
        <v>87</v>
      </c>
    </row>
    <row r="128">
      <c r="A128" s="6" t="s">
        <v>352</v>
      </c>
      <c r="B128" s="8">
        <v>46248.0</v>
      </c>
      <c r="C128" s="6" t="s">
        <v>24</v>
      </c>
      <c r="D128" s="6" t="s">
        <v>353</v>
      </c>
      <c r="F128" s="7">
        <v>-1500.0</v>
      </c>
      <c r="G128" s="6" t="s">
        <v>87</v>
      </c>
    </row>
    <row r="129">
      <c r="A129" s="6">
        <v>7.0814225E7</v>
      </c>
      <c r="B129" s="8">
        <v>46248.0</v>
      </c>
      <c r="C129" s="6" t="s">
        <v>24</v>
      </c>
      <c r="D129" s="6" t="s">
        <v>354</v>
      </c>
      <c r="F129" s="7">
        <v>-150.0</v>
      </c>
      <c r="G129" s="6" t="s">
        <v>87</v>
      </c>
    </row>
    <row r="130">
      <c r="A130" s="6">
        <v>1.2970775E7</v>
      </c>
      <c r="B130" s="8">
        <v>46248.0</v>
      </c>
      <c r="C130" s="6" t="s">
        <v>24</v>
      </c>
      <c r="D130" s="6" t="s">
        <v>355</v>
      </c>
      <c r="F130" s="7">
        <v>-160.49</v>
      </c>
      <c r="G130" s="6" t="s">
        <v>134</v>
      </c>
    </row>
    <row r="131">
      <c r="A131" s="6" t="s">
        <v>356</v>
      </c>
      <c r="B131" s="8">
        <v>46248.0</v>
      </c>
      <c r="C131" s="6" t="s">
        <v>24</v>
      </c>
      <c r="D131" s="6" t="s">
        <v>357</v>
      </c>
      <c r="F131" s="7">
        <v>-1500.0</v>
      </c>
      <c r="G131" s="6" t="s">
        <v>87</v>
      </c>
    </row>
    <row r="132">
      <c r="A132" s="6" t="s">
        <v>358</v>
      </c>
      <c r="B132" s="8">
        <v>46248.0</v>
      </c>
      <c r="C132" s="6" t="s">
        <v>24</v>
      </c>
      <c r="D132" s="6" t="s">
        <v>53</v>
      </c>
      <c r="F132" s="7">
        <v>5332.7</v>
      </c>
      <c r="G132" s="6" t="s">
        <v>54</v>
      </c>
    </row>
    <row r="133">
      <c r="A133" s="6" t="s">
        <v>359</v>
      </c>
      <c r="B133" s="8">
        <v>46241.0</v>
      </c>
      <c r="C133" s="6" t="s">
        <v>24</v>
      </c>
      <c r="D133" s="6" t="s">
        <v>360</v>
      </c>
      <c r="F133" s="7">
        <v>-1.92</v>
      </c>
      <c r="G133" s="6" t="s">
        <v>43</v>
      </c>
    </row>
    <row r="134">
      <c r="A134" s="6" t="s">
        <v>361</v>
      </c>
      <c r="B134" s="8">
        <v>46239.0</v>
      </c>
      <c r="C134" s="6" t="s">
        <v>24</v>
      </c>
      <c r="D134" s="6" t="s">
        <v>362</v>
      </c>
      <c r="F134" s="7">
        <v>-2.99</v>
      </c>
      <c r="G134" s="6" t="s">
        <v>57</v>
      </c>
    </row>
    <row r="135">
      <c r="A135" s="6" t="s">
        <v>364</v>
      </c>
      <c r="B135" s="8">
        <v>46238.0</v>
      </c>
      <c r="C135" s="6" t="s">
        <v>24</v>
      </c>
      <c r="D135" s="6" t="s">
        <v>365</v>
      </c>
      <c r="F135" s="7">
        <v>-1875.95</v>
      </c>
      <c r="G135" s="6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0.88"/>
    <col customWidth="1" min="3" max="3" width="8.13"/>
    <col customWidth="1" min="4" max="4" width="8.25"/>
    <col customWidth="1" min="5" max="5" width="7.0"/>
    <col customWidth="1" min="6" max="7" width="5.38"/>
  </cols>
  <sheetData>
    <row r="1">
      <c r="A1" s="1" t="s">
        <v>1</v>
      </c>
      <c r="B1" s="1" t="s">
        <v>34</v>
      </c>
      <c r="C1" s="2" t="s">
        <v>33</v>
      </c>
      <c r="D1" s="1" t="s">
        <v>377</v>
      </c>
      <c r="E1" s="2" t="s">
        <v>378</v>
      </c>
      <c r="F1" s="1" t="s">
        <v>380</v>
      </c>
      <c r="G1" s="74" t="s">
        <v>381</v>
      </c>
    </row>
    <row r="2">
      <c r="A2" s="3" t="s">
        <v>382</v>
      </c>
      <c r="B2" s="3" t="s">
        <v>289</v>
      </c>
      <c r="C2" s="4">
        <v>413.04</v>
      </c>
      <c r="D2" s="3" t="s">
        <v>383</v>
      </c>
      <c r="E2" s="3">
        <v>1.0</v>
      </c>
      <c r="F2" s="6" t="b">
        <v>0</v>
      </c>
      <c r="G2" s="6" t="s">
        <v>386</v>
      </c>
    </row>
    <row r="3">
      <c r="A3" s="3" t="s">
        <v>287</v>
      </c>
      <c r="B3" s="3" t="s">
        <v>104</v>
      </c>
      <c r="C3" s="4">
        <v>1875.95</v>
      </c>
      <c r="D3" s="3" t="s">
        <v>383</v>
      </c>
      <c r="E3" s="3">
        <v>1.0</v>
      </c>
      <c r="F3" s="3" t="b">
        <v>1</v>
      </c>
      <c r="G3" s="6" t="s">
        <v>389</v>
      </c>
    </row>
    <row r="4">
      <c r="A4" s="3" t="s">
        <v>302</v>
      </c>
      <c r="B4" s="3" t="s">
        <v>212</v>
      </c>
      <c r="C4" s="4">
        <v>40.0</v>
      </c>
      <c r="D4" s="3" t="s">
        <v>383</v>
      </c>
      <c r="E4" s="6">
        <v>18.0</v>
      </c>
      <c r="F4" s="3" t="b">
        <v>1</v>
      </c>
      <c r="G4" s="6" t="s">
        <v>391</v>
      </c>
    </row>
    <row r="5">
      <c r="A5" s="3" t="s">
        <v>317</v>
      </c>
      <c r="B5" s="3" t="s">
        <v>212</v>
      </c>
      <c r="C5" s="4">
        <v>40.0</v>
      </c>
      <c r="D5" s="3" t="s">
        <v>383</v>
      </c>
      <c r="E5" s="3">
        <v>1.0</v>
      </c>
      <c r="F5" s="3" t="b">
        <v>1</v>
      </c>
      <c r="G5" s="6" t="s">
        <v>393</v>
      </c>
    </row>
    <row r="6">
      <c r="A6" s="3" t="s">
        <v>339</v>
      </c>
      <c r="B6" s="3" t="s">
        <v>74</v>
      </c>
      <c r="C6" s="4">
        <v>19.99</v>
      </c>
      <c r="D6" s="3" t="s">
        <v>383</v>
      </c>
      <c r="E6" s="6">
        <v>17.0</v>
      </c>
      <c r="F6" s="3" t="b">
        <v>1</v>
      </c>
      <c r="G6" s="6" t="s">
        <v>395</v>
      </c>
    </row>
    <row r="7">
      <c r="A7" s="3" t="s">
        <v>367</v>
      </c>
      <c r="B7" s="3" t="s">
        <v>74</v>
      </c>
      <c r="C7" s="4">
        <v>12.99</v>
      </c>
      <c r="D7" s="3" t="s">
        <v>383</v>
      </c>
      <c r="E7" s="6">
        <v>31.0</v>
      </c>
      <c r="F7" s="3" t="b">
        <v>1</v>
      </c>
      <c r="G7" s="6" t="s">
        <v>396</v>
      </c>
    </row>
    <row r="8">
      <c r="A8" s="3" t="s">
        <v>374</v>
      </c>
      <c r="B8" s="3" t="s">
        <v>74</v>
      </c>
      <c r="C8" s="4">
        <v>14.99</v>
      </c>
      <c r="D8" s="3" t="s">
        <v>383</v>
      </c>
      <c r="E8" s="3">
        <v>1.0</v>
      </c>
      <c r="F8" s="3" t="b">
        <v>1</v>
      </c>
      <c r="G8" s="6" t="s">
        <v>397</v>
      </c>
    </row>
    <row r="9">
      <c r="A9" s="3" t="s">
        <v>384</v>
      </c>
      <c r="B9" s="3" t="s">
        <v>74</v>
      </c>
      <c r="C9" s="4">
        <v>2.99</v>
      </c>
      <c r="D9" s="3" t="s">
        <v>383</v>
      </c>
      <c r="E9" s="6">
        <v>27.0</v>
      </c>
      <c r="F9" s="3" t="b">
        <v>1</v>
      </c>
      <c r="G9" s="6" t="s">
        <v>399</v>
      </c>
    </row>
    <row r="10">
      <c r="A10" s="6" t="s">
        <v>400</v>
      </c>
      <c r="B10" s="6" t="s">
        <v>74</v>
      </c>
      <c r="C10" s="75">
        <v>20.0</v>
      </c>
      <c r="D10" s="6" t="s">
        <v>383</v>
      </c>
      <c r="E10" s="6">
        <v>24.0</v>
      </c>
      <c r="F10" s="6" t="b">
        <v>1</v>
      </c>
      <c r="G10" s="6" t="s">
        <v>402</v>
      </c>
    </row>
    <row r="11">
      <c r="A11" s="6" t="s">
        <v>403</v>
      </c>
      <c r="B11" s="6" t="s">
        <v>74</v>
      </c>
      <c r="C11" s="75">
        <v>8.99</v>
      </c>
      <c r="D11" s="6" t="s">
        <v>383</v>
      </c>
      <c r="E11" s="6">
        <v>8.0</v>
      </c>
      <c r="F11" s="6" t="b">
        <v>1</v>
      </c>
      <c r="G11" s="6" t="s">
        <v>404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5.88"/>
    <col customWidth="1" min="3" max="3" width="13.0"/>
  </cols>
  <sheetData>
    <row r="1">
      <c r="A1" s="1" t="s">
        <v>412</v>
      </c>
      <c r="B1" s="1" t="s">
        <v>34</v>
      </c>
      <c r="C1" s="2" t="s">
        <v>414</v>
      </c>
    </row>
    <row r="2">
      <c r="A2" s="5" t="s">
        <v>415</v>
      </c>
      <c r="B2" s="3" t="s">
        <v>57</v>
      </c>
      <c r="C2" s="4">
        <v>250.0</v>
      </c>
    </row>
    <row r="3">
      <c r="A3" s="5" t="s">
        <v>415</v>
      </c>
      <c r="B3" s="3" t="s">
        <v>95</v>
      </c>
      <c r="C3" s="4">
        <v>100.0</v>
      </c>
    </row>
    <row r="4">
      <c r="A4" s="5" t="s">
        <v>415</v>
      </c>
      <c r="B4" s="3" t="s">
        <v>43</v>
      </c>
      <c r="C4" s="4">
        <v>50.0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2.0"/>
    <col customWidth="1" min="3" max="3" width="6.88"/>
    <col customWidth="1" min="4" max="4" width="11.88"/>
    <col customWidth="1" min="5" max="5" width="5.38"/>
  </cols>
  <sheetData>
    <row r="1">
      <c r="A1" s="1" t="s">
        <v>424</v>
      </c>
      <c r="B1" s="1" t="s">
        <v>426</v>
      </c>
      <c r="C1" s="2" t="s">
        <v>427</v>
      </c>
      <c r="D1" s="1" t="s">
        <v>428</v>
      </c>
      <c r="E1" s="1" t="s">
        <v>380</v>
      </c>
    </row>
    <row r="2">
      <c r="A2" s="3" t="s">
        <v>31</v>
      </c>
      <c r="B2" s="3" t="s">
        <v>429</v>
      </c>
      <c r="C2" s="4">
        <v>300.0</v>
      </c>
      <c r="D2" s="3" t="s">
        <v>31</v>
      </c>
      <c r="E2" s="3" t="b">
        <v>1</v>
      </c>
    </row>
    <row r="3">
      <c r="A3" s="3" t="s">
        <v>7</v>
      </c>
      <c r="B3" s="3" t="s">
        <v>429</v>
      </c>
      <c r="C3" s="4">
        <v>200.0</v>
      </c>
      <c r="D3" s="3" t="s">
        <v>6</v>
      </c>
      <c r="E3" s="3" t="b">
        <v>1</v>
      </c>
    </row>
    <row r="4">
      <c r="A4" s="3" t="s">
        <v>309</v>
      </c>
      <c r="B4" s="3" t="s">
        <v>429</v>
      </c>
      <c r="C4" s="4">
        <v>100.0</v>
      </c>
      <c r="D4" s="3" t="s">
        <v>18</v>
      </c>
      <c r="E4" s="3" t="b">
        <v>1</v>
      </c>
    </row>
    <row r="5">
      <c r="A5" s="3" t="s">
        <v>321</v>
      </c>
      <c r="B5" s="3" t="s">
        <v>429</v>
      </c>
      <c r="C5" s="4">
        <v>100.0</v>
      </c>
      <c r="D5" s="3" t="s">
        <v>21</v>
      </c>
      <c r="E5" s="3" t="b">
        <v>1</v>
      </c>
    </row>
    <row r="6">
      <c r="A6" s="3" t="s">
        <v>332</v>
      </c>
      <c r="B6" s="3" t="s">
        <v>429</v>
      </c>
      <c r="C6" s="4">
        <v>100.0</v>
      </c>
      <c r="D6" s="3" t="s">
        <v>332</v>
      </c>
      <c r="E6" s="3" t="b">
        <v>1</v>
      </c>
    </row>
    <row r="7">
      <c r="A7" s="3" t="s">
        <v>344</v>
      </c>
      <c r="B7" s="3" t="s">
        <v>429</v>
      </c>
      <c r="C7" s="4">
        <v>100.0</v>
      </c>
      <c r="D7" s="3" t="s">
        <v>344</v>
      </c>
      <c r="E7" s="3" t="b">
        <v>1</v>
      </c>
    </row>
    <row r="8">
      <c r="A8" s="3" t="s">
        <v>382</v>
      </c>
      <c r="B8" s="3" t="s">
        <v>432</v>
      </c>
      <c r="C8" s="80">
        <v>0.1</v>
      </c>
      <c r="D8" s="3" t="s">
        <v>289</v>
      </c>
      <c r="E8" s="3" t="b">
        <v>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9.13"/>
  </cols>
  <sheetData>
    <row r="1">
      <c r="A1" s="1" t="s">
        <v>437</v>
      </c>
      <c r="B1" s="1" t="s">
        <v>427</v>
      </c>
    </row>
    <row r="2">
      <c r="A2" s="3" t="s">
        <v>438</v>
      </c>
      <c r="B2" s="4">
        <v>2065.2</v>
      </c>
    </row>
    <row r="3">
      <c r="A3" s="3" t="s">
        <v>439</v>
      </c>
      <c r="B3" s="3" t="s">
        <v>440</v>
      </c>
    </row>
    <row r="4">
      <c r="A4" s="3" t="s">
        <v>441</v>
      </c>
      <c r="B4" s="5" t="s">
        <v>442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447</v>
      </c>
      <c r="B1" s="6" t="s">
        <v>448</v>
      </c>
      <c r="C1" s="6" t="s">
        <v>449</v>
      </c>
      <c r="D1" s="6" t="s">
        <v>451</v>
      </c>
      <c r="E1" s="6" t="s">
        <v>452</v>
      </c>
      <c r="F1" s="6" t="s">
        <v>453</v>
      </c>
      <c r="G1" s="6" t="s">
        <v>454</v>
      </c>
      <c r="H1" s="6" t="s">
        <v>455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493</v>
      </c>
      <c r="B1" s="6" t="s">
        <v>448</v>
      </c>
      <c r="C1" s="6" t="s">
        <v>494</v>
      </c>
      <c r="D1" s="6" t="s">
        <v>496</v>
      </c>
      <c r="E1" s="6" t="s">
        <v>292</v>
      </c>
      <c r="F1" s="6" t="s">
        <v>300</v>
      </c>
      <c r="G1" s="6" t="s">
        <v>312</v>
      </c>
      <c r="H1" s="6" t="s">
        <v>497</v>
      </c>
      <c r="I1" s="6" t="s">
        <v>314</v>
      </c>
      <c r="J1" s="6" t="s">
        <v>498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505</v>
      </c>
      <c r="B1" s="6" t="s">
        <v>448</v>
      </c>
      <c r="C1" s="6" t="s">
        <v>506</v>
      </c>
      <c r="D1" s="6" t="s">
        <v>507</v>
      </c>
      <c r="E1" s="6" t="s">
        <v>498</v>
      </c>
      <c r="F1" s="6" t="s">
        <v>508</v>
      </c>
      <c r="G1" s="6" t="s">
        <v>455</v>
      </c>
      <c r="H1" s="6" t="s">
        <v>314</v>
      </c>
    </row>
  </sheetData>
  <drawing r:id="rId1"/>
</worksheet>
</file>